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drawingml.chart+xml" PartName="/xl/charts/chart1.xml"/>
  <Override ContentType="application/vnd.openxmlformats-officedocument.drawingml.chart+xml" PartName="/xl/charts/chart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Copia de Día 2A" sheetId="1" r:id="rId5"/>
    <sheet state="visible" name="Día 1A" sheetId="2" r:id="rId6"/>
    <sheet state="visible" name="Día 2A" sheetId="3" r:id="rId7"/>
    <sheet state="visible" name="Copia de Día 1A" sheetId="4" r:id="rId8"/>
  </sheets>
  <definedNames/>
  <calcPr/>
</workbook>
</file>

<file path=xl/sharedStrings.xml><?xml version="1.0" encoding="utf-8"?>
<sst xmlns="http://schemas.openxmlformats.org/spreadsheetml/2006/main" count="456" uniqueCount="219">
  <si>
    <t>PID-5</t>
  </si>
  <si>
    <t>Debe usted describirse a sí mismo/a tan sinceramente como pueda. No hay respuestascorrectas o incorrectas. Si alguna pregunta describe situaciones y circunstancias que no le son familiares, intenteimaginar cómo reaccionaría y responda en consecuencia</t>
  </si>
  <si>
    <t>0 = Muy en desacuerdo,
1 = Moderadamente en desacuerdo
2 = Moderadamente de acuerdo
3 = Muy de acuerdo</t>
  </si>
  <si>
    <t>N</t>
  </si>
  <si>
    <t>Ítem</t>
  </si>
  <si>
    <t>Puntaje</t>
  </si>
  <si>
    <t>Dominio</t>
  </si>
  <si>
    <t>Faceta</t>
  </si>
  <si>
    <t>Celdas</t>
  </si>
  <si>
    <t>Media</t>
  </si>
  <si>
    <t>Z-Score</t>
  </si>
  <si>
    <t>Mucha gente me la tiene jurada.</t>
  </si>
  <si>
    <t>Afectividad Negativa</t>
  </si>
  <si>
    <t>Ansiedad</t>
  </si>
  <si>
    <t>D30, D39, D50, D79</t>
  </si>
  <si>
    <t>Me parece que actúo totalmente por impulso.</t>
  </si>
  <si>
    <t>Labilidad Emocional</t>
  </si>
  <si>
    <t>D44, D55, D73, D81</t>
  </si>
  <si>
    <t>Cambio lo que hago en función de lo que los demás quieren.</t>
  </si>
  <si>
    <t>Hostilidad</t>
  </si>
  <si>
    <t>D18, D35, D68, D76</t>
  </si>
  <si>
    <t>Normalmente hago lo que los otros piensan que debo hacer.</t>
  </si>
  <si>
    <t>Perseveración</t>
  </si>
  <si>
    <t>D25, D31, D36, D48</t>
  </si>
  <si>
    <t>Generalmente hago las cosas por impulso, sin pensar en las consecuencias.</t>
  </si>
  <si>
    <t>Afectividad Restringida (R)</t>
  </si>
  <si>
    <t>D34, D83, D103, D106</t>
  </si>
  <si>
    <t>Aunque sabría hacerlo mejor, no puedo dejar de tomar decisiones precipitadas.</t>
  </si>
  <si>
    <t>Inseguridad por Separación</t>
  </si>
  <si>
    <t>D23, D47, D60, D80</t>
  </si>
  <si>
    <t>Me da igual hacer sufrir a los demás.</t>
  </si>
  <si>
    <t>Sumisión</t>
  </si>
  <si>
    <t>D9, D10, D26, D90</t>
  </si>
  <si>
    <t>Siempre hago las cosas en caliente, sin pensarlas.</t>
  </si>
  <si>
    <t>Desapego</t>
  </si>
  <si>
    <t>Anhedonia</t>
  </si>
  <si>
    <t>D15, D17, D45, D67</t>
  </si>
  <si>
    <t>Nada parece interesarme demasiado.</t>
  </si>
  <si>
    <t>Depresividad</t>
  </si>
  <si>
    <t>D32, D62, D72, D75</t>
  </si>
  <si>
    <t>La gente me ha dicho que pienso sobre las cosas de una manera muy rara.</t>
  </si>
  <si>
    <t>Evitación de la Intimidad</t>
  </si>
  <si>
    <t>D34, D46, D58, D91</t>
  </si>
  <si>
    <t>Casi nunca disfruto de la vida.</t>
  </si>
  <si>
    <t>Suspicacia</t>
  </si>
  <si>
    <t>D7, D41, D49, D85</t>
  </si>
  <si>
    <t>Me enfado fácilmente.</t>
  </si>
  <si>
    <t>Retraimiento</t>
  </si>
  <si>
    <t>D33, D54, D61, D83</t>
  </si>
  <si>
    <t>No tengo límite a la hora de hacer cosas peligrosas.</t>
  </si>
  <si>
    <t>Antagonismo</t>
  </si>
  <si>
    <t>Búsqueda de Atención</t>
  </si>
  <si>
    <t>D29, D79, D94, D102</t>
  </si>
  <si>
    <t>Para ser sincero/a, soy más importante que los demás.</t>
  </si>
  <si>
    <t>Insensibilidad</t>
  </si>
  <si>
    <t>D13, D65, D74, D89</t>
  </si>
  <si>
    <t>Es extraño, pero a veces objetos cotidianos parecen tener una forma diferente de la habitual.</t>
  </si>
  <si>
    <t>Engaño</t>
  </si>
  <si>
    <t>D24, D46, D82, D104</t>
  </si>
  <si>
    <t>Hago montones de cosas que otros consideran arriesgadas.</t>
  </si>
  <si>
    <t>Grandiosidad</t>
  </si>
  <si>
    <t>D20, D40, D80, D97</t>
  </si>
  <si>
    <t>Me preocupa mucho estar solo/a.</t>
  </si>
  <si>
    <t>Manipulación</t>
  </si>
  <si>
    <t>D38, D50, D68, D105</t>
  </si>
  <si>
    <t>A menudo invento cosas sobre mí mismo/a para ayudarme a conseguir lo que quiero.</t>
  </si>
  <si>
    <t>Desinhibición</t>
  </si>
  <si>
    <t>Distracción</t>
  </si>
  <si>
    <t>D42, D51, D57, D89</t>
  </si>
  <si>
    <t>Sigo enfocando las cosas de la misma manera, incluso cuando no funciona.</t>
  </si>
  <si>
    <t>Impulsividad</t>
  </si>
  <si>
    <t>D8, D11, D12, D14</t>
  </si>
  <si>
    <t>Hago lo que los demás me dicen que haga.</t>
  </si>
  <si>
    <t>Irresponsabilidad</t>
  </si>
  <si>
    <t>D30, D66, D77, D95</t>
  </si>
  <si>
    <t>Me gusta correr riesgos.</t>
  </si>
  <si>
    <t>Perfeccionismo Rígido (R)</t>
  </si>
  <si>
    <t>D99, D100, D102, D104</t>
  </si>
  <si>
    <t>Los demás parecen pensar que soy bastante raro/a o peculiar.</t>
  </si>
  <si>
    <t>Toma de Riesgos</t>
  </si>
  <si>
    <t>D19, D22, D27, D69</t>
  </si>
  <si>
    <t>Me encanta atraer la atención de los demás.</t>
  </si>
  <si>
    <t>Psicoticismo</t>
  </si>
  <si>
    <t>Excentricidad</t>
  </si>
  <si>
    <t>D16, D28, D63, D91</t>
  </si>
  <si>
    <t>Me preocupo mucho por cosas horribles que podrían ocurrir.</t>
  </si>
  <si>
    <t>Disfunción Perceptual</t>
  </si>
  <si>
    <t>D21, D37, D56, D98</t>
  </si>
  <si>
    <t>Me cuesta cambiar la manera en la que hago algo, incluso si no está funcionando.</t>
  </si>
  <si>
    <t>Creencias Inusuales</t>
  </si>
  <si>
    <t>D40, D53, D61, D94</t>
  </si>
  <si>
    <t>El mundo sería mejor si yo estuviera muerto/a.</t>
  </si>
  <si>
    <t>Mantengo la distancia con la gente.</t>
  </si>
  <si>
    <t>Prefiero mantener las relaciones sentimentales fuera de mi vida.</t>
  </si>
  <si>
    <t>Tengo muy mal genio.</t>
  </si>
  <si>
    <t>Me obsesiono con ciertas cosas y no puedo parar.</t>
  </si>
  <si>
    <t>A menudo tengo experiencias poco corrientes, como sentir la presencia de alguien que en realidad no está.</t>
  </si>
  <si>
    <t>Se me da bien hacer que la gente haga lo que yo quiero.</t>
  </si>
  <si>
    <t>Siempre estoy preocupándome por algo.</t>
  </si>
  <si>
    <t>Soy mejor que casi todo el mundo.</t>
  </si>
  <si>
    <t>Siempre estoy alerta por si alguien trata de engañarme o perjudicarme.</t>
  </si>
  <si>
    <t>Me cuesta mantener mi cabeza centrada en lo que debo hacer.</t>
  </si>
  <si>
    <t>No estoy muy interesado/a en tener relaciones de pareja.</t>
  </si>
  <si>
    <t>Me emociono fácilmente, a menudo por motivos muy pequeños.</t>
  </si>
  <si>
    <t>Casi nunca me siento feliz con mis actividades cotidianas.</t>
  </si>
  <si>
    <t>Camelar a los demás me ayuda a conseguir lo que quiero.</t>
  </si>
  <si>
    <t>Estar solo/a en la vida me da más miedo que cualquier otra cosa.</t>
  </si>
  <si>
    <t>Me encallo en una manera de hacer las cosas, incluso cuando está claro que no funciona.</t>
  </si>
  <si>
    <t>A menudo soy bastante descuidado/a con mis cosas y las de los demás.</t>
  </si>
  <si>
    <t>Soy una persona muy ansiosa.</t>
  </si>
  <si>
    <t>Me distraigo fácilmente.</t>
  </si>
  <si>
    <t>Parece que siempre reciba un trato injusto de los demás.</t>
  </si>
  <si>
    <t>No dudo en hacer trampa si eso me hace salir adelante.</t>
  </si>
  <si>
    <t>No me gusta pasar tiempo con otra gente.</t>
  </si>
  <si>
    <t>Nunca sé a dónde irán mis emociones en el próximo instante.</t>
  </si>
  <si>
    <t>He visto cosas que no estaban realmente allí.</t>
  </si>
  <si>
    <t>No puedo centrarme en las cosas durante mucho tiempo.</t>
  </si>
  <si>
    <t>Me mantengo alejado/a de las relaciones sentimentales.</t>
  </si>
  <si>
    <t>No me interesa hacer amigos.</t>
  </si>
  <si>
    <t>Haría casi cualquier cosa para evitar que alguien me abandone.</t>
  </si>
  <si>
    <t>A veces puedo influir a otra gente simplemente enviándole mis pensamientos.</t>
  </si>
  <si>
    <t>La vida me parece bastante deprimente.</t>
  </si>
  <si>
    <t>Pienso sobre las cosas de una manera rara que no tiene sentido para la mayoría.</t>
  </si>
  <si>
    <t>No me importa que mis acciones perjudiquen a otros.</t>
  </si>
  <si>
    <t>A veces me siento "controlado/a" por pensamientos que son de alguna otra persona.</t>
  </si>
  <si>
    <t>Hago promesas que en realidad no pienso cumplir.</t>
  </si>
  <si>
    <t>Nada parece hacerme sentir bien.</t>
  </si>
  <si>
    <t>Me irrito fácilmente por todo tipo de cosas.</t>
  </si>
  <si>
    <t>Hago lo que quiero sin tener en cuenta lo peligroso que pueda ser.</t>
  </si>
  <si>
    <t>A menudo olvido pagar mis facturas.</t>
  </si>
  <si>
    <t>Se me da bien engañar a la gente.</t>
  </si>
  <si>
    <t>Todo me parece sin sentido.</t>
  </si>
  <si>
    <t>Me emociono por cualquier pequeñez.</t>
  </si>
  <si>
    <t>No es tan importante si hiero los sentimientos de otras personas.</t>
  </si>
  <si>
    <t>No valgo nada como persona.</t>
  </si>
  <si>
    <t>Normalmente soy bastante hostil.</t>
  </si>
  <si>
    <t>A veces me he esfumado para evitar responsabilidades.</t>
  </si>
  <si>
    <t>Me gusta ser una persona que se hace notar.</t>
  </si>
  <si>
    <t>Siempre estoy atemorizado/a o en ascuas por las cosas malas que pueden ocurrir.</t>
  </si>
  <si>
    <t>Nunca quiero estar solo/a.</t>
  </si>
  <si>
    <t>Mis emociones son impredecibles.</t>
  </si>
  <si>
    <t>No me importan los problemas de los demás.</t>
  </si>
  <si>
    <t>Evito los actos sociales.</t>
  </si>
  <si>
    <t>Merezco un trato especial.</t>
  </si>
  <si>
    <t>Sospecho que incluso mis supuestos "amigos" me engañan a menudo.</t>
  </si>
  <si>
    <t>Ansío llamar la atención.</t>
  </si>
  <si>
    <t>A veces pienso que alguien está quitando pensamientos de mi cabeza.</t>
  </si>
  <si>
    <t>A menudo he de tratar con gente que es menos importante que yo.</t>
  </si>
  <si>
    <t>Incluso distracciones mínimas me apartan de mi tarea.</t>
  </si>
  <si>
    <t>Intento hacer lo que otros quieren que haga.</t>
  </si>
  <si>
    <t>Prefiero estar solo/a a tener una pareja sentimental.</t>
  </si>
  <si>
    <t>A menudo tengo pensamientos que tienen sentido para mí pero que otros ven extraños.</t>
  </si>
  <si>
    <t>Utilizo a la gente para conseguir lo que quiero.</t>
  </si>
  <si>
    <t>He tenido algunas experiencias muy extrañas que son difíciles de explicar.</t>
  </si>
  <si>
    <t>Me gusta llamar la atención sobre mí.</t>
  </si>
  <si>
    <t>Las cosas que me rodean a menudo me parecen irreales, o más reales de lo normal.</t>
  </si>
  <si>
    <t>Exagero las cosas si eso me beneficia.</t>
  </si>
  <si>
    <t>Me resulta fácil aprovecharme de los demás.</t>
  </si>
  <si>
    <t>Si algo que hago no es totalmente perfecto, simplemente no es aceptable.</t>
  </si>
  <si>
    <t>Aunque ponga de los nervios a los demás, insisto lograr la absoluta perfección en todo lo que hago.</t>
  </si>
  <si>
    <t>Nunca muestro mis emociones a los demás.</t>
  </si>
  <si>
    <t>Sigo intentando hacer las cosas perfectas, incluso cuando ya están todo lo bien que pueden estar.</t>
  </si>
  <si>
    <t>No reacciono demasiado ante cosas que parecen emocionar a otros.</t>
  </si>
  <si>
    <t>Simplemente no puedo soportar que las cosas estén fuera de su sitio.</t>
  </si>
  <si>
    <t>No suelo emocionarme.</t>
  </si>
  <si>
    <t>No muestro intensamente mis emociones.</t>
  </si>
  <si>
    <t>SWLS-5</t>
  </si>
  <si>
    <t>Por favor, indica tu grado de acuerdo con cada frase rodeando con un círculo el número apropiado(sólo uno por afirmación). Por favor, sé sincero con tu respuesta.</t>
  </si>
  <si>
    <t>1 = Muy en desacuerdo,
2 = En desacuerdo
3 = Neutro
4 = De acuerdo
5 = Muy de acuerdo</t>
  </si>
  <si>
    <t>En la mayoría de los aspectos mi vida es como yo quiero que sea</t>
  </si>
  <si>
    <t>Las circunstancias de mi vida son muy buenas</t>
  </si>
  <si>
    <t>Estoy satisfecho con mi vida</t>
  </si>
  <si>
    <t>Hasta ahora he conseguido de la vida las cosas que considero importantes</t>
  </si>
  <si>
    <t>Si pudiera vivir mi vida otra vez no cambiaría casi nada</t>
  </si>
  <si>
    <t>EN LOS ÚLTIMOS 30 DÍAS, HA TENIDO DIFICULTADES (LENTITUD, MÁS ESFUERZO, MOLESTIA O DOLOR, O CAMBIOS COMO REALIZA UNA ACTIVIDAD) POR ENFERMEDAD, HERIDAS, LESIONES, PROBLEMAS CON ALCOHOL O DROGAS, O PROBLEMAS MENTALES</t>
  </si>
  <si>
    <t>WHODAS-2.0</t>
  </si>
  <si>
    <t>1 (Ninguna) .............. 2 (Leve) .............. 3 (Moderada) .............. 4 (Severa) .............. 5 ( Extrema)</t>
  </si>
  <si>
    <t>Estar de pie durante largos periodos de tiempo, como por ejemplo 30 minutos?</t>
  </si>
  <si>
    <t>Cumplir con sus quehaceresde la casa?</t>
  </si>
  <si>
    <t>Aprender una nueva tarea, como por ejemplo llegar a un lugar nuevo?</t>
  </si>
  <si>
    <t>Cuánta dificultad ha tenido para participar, al mismo nivel que el resto de las personas, en actividades de la comunidad (por ejemplo, fiestas, actividades religiosas u otras actividades)</t>
  </si>
  <si>
    <t>Cuánto le ha afectado emocionalmentesu “condición de salud”?</t>
  </si>
  <si>
    <t>Concentrarse en hacer algo durante diez minutos?</t>
  </si>
  <si>
    <t>Andar largas distancias, como un kilómetro [o algo equivalente]?</t>
  </si>
  <si>
    <t>Lavarse todo el cuerpo (Bañarse)?</t>
  </si>
  <si>
    <t>Vestirse</t>
  </si>
  <si>
    <t>Relacionarse con personas que no conoce?</t>
  </si>
  <si>
    <t>Mantener una amistad?</t>
  </si>
  <si>
    <t>Llevar a cabo su trabajo diario o las actividades escolares?</t>
  </si>
  <si>
    <t>A continuación, se presenta la versión traducida de los ítems, que se responden en una escala Likert de 4 puntos (la puntuación alta indica mayor disfunción):</t>
  </si>
  <si>
    <t>Disfunción</t>
  </si>
  <si>
    <t>1: MUY FALSO
2: FALSO
3: VERDADERO
4: MUY VERDADERO</t>
  </si>
  <si>
    <t>Escala de Personalidad</t>
  </si>
  <si>
    <t>Deterioro</t>
  </si>
  <si>
    <t>Identidad</t>
  </si>
  <si>
    <t>Leve</t>
  </si>
  <si>
    <t>26 a 31</t>
  </si>
  <si>
    <t>A menudo no sé quién soy realmente.</t>
  </si>
  <si>
    <t>Autodirección</t>
  </si>
  <si>
    <t>Moderado</t>
  </si>
  <si>
    <t>31 a 36</t>
  </si>
  <si>
    <t>A menudo pienso muy negativamente sobre mí mismo/a.</t>
  </si>
  <si>
    <t>Empatía</t>
  </si>
  <si>
    <t>Severo</t>
  </si>
  <si>
    <t>36 a 40.5</t>
  </si>
  <si>
    <t>Mis emociones cambian sin que yo tenga control sobre ellas.</t>
  </si>
  <si>
    <t>Intimidad</t>
  </si>
  <si>
    <t>Extremo</t>
  </si>
  <si>
    <t>41 a más</t>
  </si>
  <si>
    <t>No tengo idea de a dónde quiero ir en mi vida.</t>
  </si>
  <si>
    <t>Total</t>
  </si>
  <si>
    <t>A menudo no entiendo mis propios pensamientos y sentimientos.</t>
  </si>
  <si>
    <t>A menudo me pongo exigencias poco realistas a mí mismo/a</t>
  </si>
  <si>
    <t>A menudo tengo dificultades para entender los pensamientos y sentimientos de otros.</t>
  </si>
  <si>
    <t>A menudo me es difícil tolerar cuando otros tienen una opinión diferente.</t>
  </si>
  <si>
    <t>A menudo no entiendo del todo por qué mi conducta tiene un cierto efecto sobre otros.</t>
  </si>
  <si>
    <t>Mis relaciones y amistades nunca duran mucho</t>
  </si>
  <si>
    <t>A menudo me siento muy vulnerable cuando las relaciones se vuelven más personales.</t>
  </si>
  <si>
    <t>A menudo no logro cooperar con otros de una manera eficaz.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</si>
</sst>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3">
    <font>
      <sz val="10.0"/>
      <color rgb="FF000000"/>
      <name val="Arial"/>
      <scheme val="minor"/>
    </font>
    <font>
      <color theme="1"/>
      <name val="Arial"/>
      <scheme val="minor"/>
    </font>
    <font>
      <b/>
      <sz val="28.0"/>
      <color theme="1"/>
      <name val="Arial"/>
      <scheme val="minor"/>
    </font>
    <font>
      <b/>
      <sz val="12.0"/>
      <color theme="1"/>
      <name val="Arial"/>
      <scheme val="minor"/>
    </font>
    <font>
      <b/>
      <color rgb="FF1B1C1D"/>
      <name val="&quot;Google Sans Text&quot;"/>
    </font>
    <font>
      <b/>
      <color theme="1"/>
      <name val="Arial"/>
      <scheme val="minor"/>
    </font>
    <font>
      <color rgb="FF1B1C1D"/>
      <name val="&quot;Google Sans Text&quot;"/>
    </font>
    <font>
      <color theme="1"/>
      <name val="Arial"/>
    </font>
    <font>
      <color rgb="FF444746"/>
      <name val="&quot;Google Sans Text&quot;"/>
    </font>
    <font>
      <b/>
      <color rgb="FF444746"/>
      <name val="&quot;Google Sans Text&quot;"/>
    </font>
    <font>
      <b/>
      <sz val="30.0"/>
      <color theme="1"/>
      <name val="Arial"/>
      <scheme val="minor"/>
    </font>
    <font/>
    <font>
      <b/>
      <sz val="11.0"/>
      <color theme="1"/>
      <name val="Arial"/>
      <scheme val="minor"/>
    </font>
  </fonts>
  <fills count="6">
    <fill>
      <patternFill patternType="none"/>
    </fill>
    <fill>
      <patternFill patternType="lightGray"/>
    </fill>
    <fill>
      <patternFill patternType="solid">
        <fgColor rgb="FFFFF2CC"/>
        <bgColor rgb="FFFFF2CC"/>
      </patternFill>
    </fill>
    <fill>
      <patternFill patternType="solid">
        <fgColor rgb="FF9900FF"/>
        <bgColor rgb="FF9900FF"/>
      </patternFill>
    </fill>
    <fill>
      <patternFill patternType="solid">
        <fgColor rgb="FFFFFF00"/>
        <bgColor rgb="FFFFFF00"/>
      </patternFill>
    </fill>
    <fill>
      <patternFill patternType="solid">
        <fgColor rgb="FF00FF00"/>
        <bgColor rgb="FF00FF00"/>
      </patternFill>
    </fill>
  </fills>
  <borders count="17">
    <border/>
    <border>
      <left style="thick">
        <color rgb="FF000000"/>
      </left>
      <top style="thick">
        <color rgb="FF000000"/>
      </top>
    </border>
    <border>
      <top style="thick">
        <color rgb="FF000000"/>
      </top>
    </border>
    <border>
      <right style="thick">
        <color rgb="FF000000"/>
      </right>
      <top style="thick">
        <color rgb="FF000000"/>
      </top>
    </border>
    <border>
      <left style="thick">
        <color rgb="FF000000"/>
      </left>
    </border>
    <border>
      <right style="thick">
        <color rgb="FF000000"/>
      </right>
    </border>
    <border>
      <left style="thick">
        <color rgb="FF000000"/>
      </left>
      <bottom style="thick">
        <color rgb="FF000000"/>
      </bottom>
    </border>
    <border>
      <bottom style="thick">
        <color rgb="FF000000"/>
      </bottom>
    </border>
    <border>
      <right style="thick">
        <color rgb="FF000000"/>
      </right>
      <bottom style="thick">
        <color rgb="FF000000"/>
      </bottom>
    </border>
    <border>
      <left style="thin">
        <color rgb="FF000000"/>
      </left>
      <top style="thin">
        <color rgb="FF000000"/>
      </top>
    </border>
    <border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</border>
    <border>
      <right style="thin">
        <color rgb="FF000000"/>
      </right>
    </border>
    <border>
      <left style="thin">
        <color rgb="FF000000"/>
      </left>
      <bottom style="thin">
        <color rgb="FF000000"/>
      </bottom>
    </border>
    <border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6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shrinkToFit="0" wrapText="1"/>
    </xf>
    <xf borderId="0" fillId="2" fontId="2" numFmtId="0" xfId="0" applyAlignment="1" applyFill="1" applyFont="1">
      <alignment horizontal="center" readingOrder="0" shrinkToFit="0" textRotation="90" vertical="center" wrapText="1"/>
    </xf>
    <xf borderId="0" fillId="0" fontId="3" numFmtId="0" xfId="0" applyAlignment="1" applyFont="1">
      <alignment horizontal="center" readingOrder="0" shrinkToFit="0" wrapText="1"/>
    </xf>
    <xf borderId="0" fillId="0" fontId="1" numFmtId="0" xfId="0" applyAlignment="1" applyFont="1">
      <alignment readingOrder="0"/>
    </xf>
    <xf borderId="1" fillId="0" fontId="1" numFmtId="0" xfId="0" applyAlignment="1" applyBorder="1" applyFont="1">
      <alignment readingOrder="0"/>
    </xf>
    <xf borderId="2" fillId="0" fontId="1" numFmtId="0" xfId="0" applyAlignment="1" applyBorder="1" applyFont="1">
      <alignment readingOrder="0"/>
    </xf>
    <xf borderId="3" fillId="0" fontId="1" numFmtId="0" xfId="0" applyAlignment="1" applyBorder="1" applyFont="1">
      <alignment readingOrder="0"/>
    </xf>
    <xf borderId="0" fillId="0" fontId="4" numFmtId="0" xfId="0" applyAlignment="1" applyFont="1">
      <alignment readingOrder="0"/>
    </xf>
    <xf borderId="0" fillId="0" fontId="5" numFmtId="0" xfId="0" applyAlignment="1" applyFont="1">
      <alignment readingOrder="0"/>
    </xf>
    <xf borderId="0" fillId="0" fontId="6" numFmtId="0" xfId="0" applyAlignment="1" applyFont="1">
      <alignment readingOrder="0"/>
    </xf>
    <xf borderId="4" fillId="0" fontId="1" numFmtId="0" xfId="0" applyAlignment="1" applyBorder="1" applyFont="1">
      <alignment readingOrder="0"/>
    </xf>
    <xf borderId="0" fillId="0" fontId="1" numFmtId="0" xfId="0" applyAlignment="1" applyFont="1">
      <alignment readingOrder="0" shrinkToFit="0" wrapText="1"/>
    </xf>
    <xf borderId="5" fillId="0" fontId="7" numFmtId="0" xfId="0" applyAlignment="1" applyBorder="1" applyFont="1">
      <alignment horizontal="right" readingOrder="0" vertical="bottom"/>
    </xf>
    <xf borderId="0" fillId="0" fontId="5" numFmtId="0" xfId="0" applyFont="1"/>
    <xf borderId="0" fillId="0" fontId="4" numFmtId="2" xfId="0" applyAlignment="1" applyFont="1" applyNumberFormat="1">
      <alignment readingOrder="0"/>
    </xf>
    <xf borderId="0" fillId="0" fontId="8" numFmtId="0" xfId="0" applyFont="1"/>
    <xf borderId="0" fillId="0" fontId="6" numFmtId="2" xfId="0" applyFont="1" applyNumberFormat="1"/>
    <xf borderId="0" fillId="0" fontId="9" numFmtId="0" xfId="0" applyFont="1"/>
    <xf borderId="6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 shrinkToFit="0" wrapText="1"/>
    </xf>
    <xf borderId="8" fillId="0" fontId="7" numFmtId="0" xfId="0" applyAlignment="1" applyBorder="1" applyFont="1">
      <alignment horizontal="right" readingOrder="0" vertical="bottom"/>
    </xf>
    <xf borderId="0" fillId="3" fontId="1" numFmtId="0" xfId="0" applyFill="1" applyFont="1"/>
    <xf borderId="0" fillId="2" fontId="10" numFmtId="0" xfId="0" applyAlignment="1" applyFont="1">
      <alignment horizontal="center" readingOrder="0" textRotation="90" vertical="center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/>
    </xf>
    <xf borderId="9" fillId="0" fontId="5" numFmtId="0" xfId="0" applyAlignment="1" applyBorder="1" applyFont="1">
      <alignment readingOrder="0"/>
    </xf>
    <xf borderId="10" fillId="0" fontId="5" numFmtId="0" xfId="0" applyAlignment="1" applyBorder="1" applyFont="1">
      <alignment readingOrder="0"/>
    </xf>
    <xf borderId="10" fillId="0" fontId="11" numFmtId="0" xfId="0" applyBorder="1" applyFont="1"/>
    <xf borderId="11" fillId="0" fontId="5" numFmtId="0" xfId="0" applyAlignment="1" applyBorder="1" applyFont="1">
      <alignment readingOrder="0"/>
    </xf>
    <xf borderId="12" fillId="0" fontId="5" numFmtId="0" xfId="0" applyAlignment="1" applyBorder="1" applyFont="1">
      <alignment readingOrder="0"/>
    </xf>
    <xf borderId="13" fillId="0" fontId="5" numFmtId="0" xfId="0" applyAlignment="1" applyBorder="1" applyFont="1">
      <alignment readingOrder="0"/>
    </xf>
    <xf borderId="0" fillId="0" fontId="5" numFmtId="0" xfId="0" applyAlignment="1" applyFont="1">
      <alignment horizontal="left" readingOrder="0" shrinkToFit="0" vertical="center" wrapText="1"/>
    </xf>
    <xf borderId="14" fillId="0" fontId="5" numFmtId="0" xfId="0" applyAlignment="1" applyBorder="1" applyFont="1">
      <alignment readingOrder="0"/>
    </xf>
    <xf borderId="15" fillId="0" fontId="5" numFmtId="0" xfId="0" applyAlignment="1" applyBorder="1" applyFont="1">
      <alignment readingOrder="0"/>
    </xf>
    <xf borderId="15" fillId="0" fontId="11" numFmtId="0" xfId="0" applyBorder="1" applyFont="1"/>
    <xf borderId="16" fillId="0" fontId="5" numFmtId="0" xfId="0" applyAlignment="1" applyBorder="1" applyFont="1">
      <alignment readingOrder="0"/>
    </xf>
    <xf borderId="0" fillId="0" fontId="12" numFmtId="0" xfId="0" applyAlignment="1" applyFont="1">
      <alignment horizontal="center" readingOrder="0"/>
    </xf>
    <xf borderId="1" fillId="0" fontId="5" numFmtId="0" xfId="0" applyAlignment="1" applyBorder="1" applyFont="1">
      <alignment readingOrder="0"/>
    </xf>
    <xf borderId="2" fillId="0" fontId="5" numFmtId="0" xfId="0" applyAlignment="1" applyBorder="1" applyFont="1">
      <alignment readingOrder="0"/>
    </xf>
    <xf borderId="2" fillId="0" fontId="11" numFmtId="0" xfId="0" applyBorder="1" applyFont="1"/>
    <xf borderId="3" fillId="0" fontId="5" numFmtId="0" xfId="0" applyAlignment="1" applyBorder="1" applyFont="1">
      <alignment readingOrder="0"/>
    </xf>
    <xf borderId="5" fillId="0" fontId="1" numFmtId="0" xfId="0" applyAlignment="1" applyBorder="1" applyFont="1">
      <alignment readingOrder="0"/>
    </xf>
    <xf borderId="7" fillId="0" fontId="1" numFmtId="0" xfId="0" applyAlignment="1" applyBorder="1" applyFont="1">
      <alignment readingOrder="0"/>
    </xf>
    <xf borderId="7" fillId="0" fontId="11" numFmtId="0" xfId="0" applyBorder="1" applyFont="1"/>
    <xf borderId="8" fillId="0" fontId="1" numFmtId="0" xfId="0" applyAlignment="1" applyBorder="1" applyFont="1">
      <alignment readingOrder="0"/>
    </xf>
    <xf borderId="0" fillId="4" fontId="5" numFmtId="0" xfId="0" applyAlignment="1" applyFill="1" applyFont="1">
      <alignment readingOrder="0"/>
    </xf>
    <xf borderId="0" fillId="4" fontId="5" numFmtId="0" xfId="0" applyAlignment="1" applyFont="1">
      <alignment readingOrder="0" shrinkToFit="0" wrapText="0"/>
    </xf>
    <xf borderId="3" fillId="0" fontId="1" numFmtId="0" xfId="0" applyBorder="1" applyFont="1"/>
    <xf borderId="3" fillId="0" fontId="5" numFmtId="0" xfId="0" applyBorder="1" applyFont="1"/>
    <xf borderId="4" fillId="0" fontId="5" numFmtId="0" xfId="0" applyAlignment="1" applyBorder="1" applyFont="1">
      <alignment readingOrder="0"/>
    </xf>
    <xf borderId="5" fillId="0" fontId="5" numFmtId="0" xfId="0" applyAlignment="1" applyBorder="1" applyFont="1">
      <alignment readingOrder="0"/>
    </xf>
    <xf borderId="5" fillId="0" fontId="7" numFmtId="0" xfId="0" applyAlignment="1" applyBorder="1" applyFont="1">
      <alignment horizontal="right" vertical="bottom"/>
    </xf>
    <xf borderId="5" fillId="0" fontId="1" numFmtId="0" xfId="0" applyBorder="1" applyFont="1"/>
    <xf borderId="5" fillId="0" fontId="5" numFmtId="0" xfId="0" applyBorder="1" applyFont="1"/>
    <xf borderId="6" fillId="0" fontId="5" numFmtId="0" xfId="0" applyAlignment="1" applyBorder="1" applyFont="1">
      <alignment readingOrder="0"/>
    </xf>
    <xf borderId="8" fillId="0" fontId="5" numFmtId="0" xfId="0" applyAlignment="1" applyBorder="1" applyFont="1">
      <alignment readingOrder="0"/>
    </xf>
    <xf borderId="8" fillId="0" fontId="1" numFmtId="0" xfId="0" applyBorder="1" applyFont="1"/>
    <xf borderId="8" fillId="0" fontId="7" numFmtId="0" xfId="0" applyAlignment="1" applyBorder="1" applyFont="1">
      <alignment horizontal="right" vertical="bottom"/>
    </xf>
    <xf borderId="1" fillId="5" fontId="5" numFmtId="0" xfId="0" applyAlignment="1" applyBorder="1" applyFill="1" applyFont="1">
      <alignment readingOrder="0"/>
    </xf>
    <xf borderId="3" fillId="5" fontId="5" numFmtId="0" xfId="0" applyBorder="1" applyFont="1"/>
    <xf borderId="4" fillId="5" fontId="5" numFmtId="0" xfId="0" applyAlignment="1" applyBorder="1" applyFont="1">
      <alignment readingOrder="0"/>
    </xf>
    <xf borderId="5" fillId="5" fontId="1" numFmtId="0" xfId="0" applyBorder="1" applyFont="1"/>
  </cellXfs>
  <cellStyles count="1">
    <cellStyle xfId="0" name="Normal" builtinId="0"/>
  </cellStyles>
  <dxfs count="1">
    <dxf>
      <font/>
      <fill>
        <patternFill patternType="solid">
          <fgColor rgb="FFF4CCCC"/>
          <bgColor rgb="FFF4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/Relationships>
</file>

<file path=xl/charts/chart1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Puntajes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'Copia de Día 2A'!$N$6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'Copia de Día 2A'!$K$7:$K$31</c:f>
            </c:strRef>
          </c:cat>
          <c:val>
            <c:numRef>
              <c:f>'Copia de Día 2A'!$N$7:$N$31</c:f>
              <c:numCache/>
            </c:numRef>
          </c:val>
        </c:ser>
        <c:axId val="1266388828"/>
        <c:axId val="1183711875"/>
      </c:barChart>
      <c:catAx>
        <c:axId val="1266388828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83711875"/>
      </c:catAx>
      <c:valAx>
        <c:axId val="1183711875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266388828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charts/chart2.xml><?xml version="1.0" encoding="utf-8"?>
<c:chartSpace xmlns:a="http://schemas.openxmlformats.org/drawingml/2006/main" xmlns:c="http://schemas.openxmlformats.org/drawingml/2006/chart" xmlns:r="http://schemas.openxmlformats.org/officeDocument/2006/relationships" xmlns:mc="http://schemas.openxmlformats.org/markup-compatibility/2006" xmlns:mv="urn:schemas-microsoft-com:mac:vml" xmlns:c14="http://schemas.microsoft.com/office/drawing/2007/8/2/chart">
  <c:chart>
    <c:title>
      <c:tx>
        <c:rich>
          <a:bodyPr/>
          <a:lstStyle/>
          <a:p>
            <a:pPr lvl="0">
              <a:defRPr b="0">
                <a:solidFill>
                  <a:srgbClr val="757575"/>
                </a:solidFill>
                <a:latin typeface="+mn-lt"/>
              </a:defRPr>
            </a:pPr>
            <a:r>
              <a:rPr b="0">
                <a:solidFill>
                  <a:srgbClr val="757575"/>
                </a:solidFill>
                <a:latin typeface="+mn-lt"/>
              </a:rPr>
              <a:t>Puntajes</a:t>
            </a:r>
          </a:p>
        </c:rich>
      </c:tx>
      <c:overlay val="0"/>
    </c:title>
    <c:plotArea>
      <c:layout/>
      <c:barChart>
        <c:barDir val="col"/>
        <c:ser>
          <c:idx val="0"/>
          <c:order val="0"/>
          <c:tx>
            <c:strRef>
              <c:f>'Día 2A'!$N$6</c:f>
            </c:strRef>
          </c:tx>
          <c:spPr>
            <a:solidFill>
              <a:srgbClr val="FF0000"/>
            </a:solidFill>
            <a:ln cmpd="sng">
              <a:solidFill>
                <a:srgbClr val="000000"/>
              </a:solidFill>
            </a:ln>
          </c:spPr>
          <c:cat>
            <c:strRef>
              <c:f>'Día 2A'!$K$7:$K$31</c:f>
            </c:strRef>
          </c:cat>
          <c:val>
            <c:numRef>
              <c:f>'Día 2A'!$N$7:$N$31</c:f>
              <c:numCache/>
            </c:numRef>
          </c:val>
        </c:ser>
        <c:axId val="649043100"/>
        <c:axId val="1132203006"/>
      </c:barChart>
      <c:catAx>
        <c:axId val="649043100"/>
        <c:scaling>
          <c:orientation val="minMax"/>
        </c:scaling>
        <c:delete val="0"/>
        <c:axPos val="b"/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Faceta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spPr/>
        <c:txPr>
          <a:bodyPr rot="-5400000"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1132203006"/>
      </c:catAx>
      <c:valAx>
        <c:axId val="1132203006"/>
        <c:scaling>
          <c:orientation val="minMax"/>
        </c:scaling>
        <c:delete val="0"/>
        <c:axPos val="l"/>
        <c:majorGridlines>
          <c:spPr>
            <a:ln>
              <a:solidFill>
                <a:srgbClr val="B7B7B7"/>
              </a:solidFill>
            </a:ln>
          </c:spPr>
        </c:majorGridlines>
        <c:minorGridlines>
          <c:spPr>
            <a:ln>
              <a:solidFill>
                <a:srgbClr val="CCCCCC">
                  <a:alpha val="0"/>
                </a:srgbClr>
              </a:solidFill>
            </a:ln>
          </c:spPr>
        </c:minorGridlines>
        <c:title>
          <c:tx>
            <c:rich>
              <a:bodyPr/>
              <a:lstStyle/>
              <a:p>
                <a:pPr lvl="0">
                  <a:defRPr b="0">
                    <a:solidFill>
                      <a:srgbClr val="000000"/>
                    </a:solidFill>
                    <a:latin typeface="+mn-lt"/>
                  </a:defRPr>
                </a:pPr>
                <a:r>
                  <a:rPr b="0">
                    <a:solidFill>
                      <a:srgbClr val="000000"/>
                    </a:solidFill>
                    <a:latin typeface="+mn-lt"/>
                  </a:rPr>
                  <a:t>Z-Score</a:t>
                </a:r>
              </a:p>
            </c:rich>
          </c:tx>
          <c:overlay val="0"/>
        </c:title>
        <c:numFmt formatCode="General" sourceLinked="1"/>
        <c:majorTickMark val="none"/>
        <c:minorTickMark val="none"/>
        <c:tickLblPos val="nextTo"/>
        <c:spPr>
          <a:ln/>
        </c:spPr>
        <c:txPr>
          <a:bodyPr/>
          <a:lstStyle/>
          <a:p>
            <a:pPr lvl="0">
              <a:defRPr b="0">
                <a:solidFill>
                  <a:srgbClr val="000000"/>
                </a:solidFill>
                <a:latin typeface="+mn-lt"/>
              </a:defRPr>
            </a:pPr>
          </a:p>
        </c:txPr>
        <c:crossAx val="649043100"/>
      </c:valAx>
    </c:plotArea>
    <c:legend>
      <c:legendPos val="r"/>
      <c:overlay val="0"/>
      <c:txPr>
        <a:bodyPr/>
        <a:lstStyle/>
        <a:p>
          <a:pPr lvl="0">
            <a:defRPr b="0">
              <a:solidFill>
                <a:srgbClr val="1A1A1A"/>
              </a:solidFill>
              <a:latin typeface="+mn-lt"/>
            </a:defRPr>
          </a:pPr>
        </a:p>
      </c:txPr>
    </c:legend>
    <c:plotVisOnly val="1"/>
  </c:chart>
</c:chartSpace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3.xml.rels><?xml version="1.0" encoding="UTF-8" standalone="yes"?>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219075</xdr:colOff>
      <xdr:row>6</xdr:row>
      <xdr:rowOff>0</xdr:rowOff>
    </xdr:from>
    <xdr:ext cx="5991225" cy="6953250"/>
    <xdr:graphicFrame>
      <xdr:nvGraphicFramePr>
        <xdr:cNvPr id="1" name="Chart 1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14</xdr:col>
      <xdr:colOff>219075</xdr:colOff>
      <xdr:row>6</xdr:row>
      <xdr:rowOff>0</xdr:rowOff>
    </xdr:from>
    <xdr:ext cx="5991225" cy="6953250"/>
    <xdr:graphicFrame>
      <xdr:nvGraphicFramePr>
        <xdr:cNvPr id="2" name="Chart 2" title="Gráfico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r:id="rId1"/>
        </a:graphicData>
      </a:graphic>
    </xdr:graphicFrame>
    <xdr:clientData fLocksWithSheet="0"/>
  </xdr:oneCellAnchor>
</xdr:wsDr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4.63"/>
    <col customWidth="1" min="3" max="3" width="71.38"/>
    <col customWidth="1" min="9" max="9" width="44.13"/>
    <col customWidth="1" min="10" max="10" width="19.63"/>
    <col customWidth="1" min="11" max="11" width="17.63"/>
    <col customWidth="1" min="12" max="12" width="27.63"/>
  </cols>
  <sheetData>
    <row r="1">
      <c r="K1" s="1"/>
      <c r="L1" s="1"/>
    </row>
    <row r="2">
      <c r="A2" s="2" t="s">
        <v>0</v>
      </c>
      <c r="C2" s="3" t="s">
        <v>1</v>
      </c>
      <c r="K2" s="1"/>
      <c r="L2" s="1"/>
    </row>
    <row r="3" ht="6.75" customHeight="1">
      <c r="C3" s="3"/>
      <c r="K3" s="1"/>
      <c r="L3" s="1"/>
    </row>
    <row r="4" ht="78.0" customHeight="1">
      <c r="C4" s="3" t="s">
        <v>2</v>
      </c>
      <c r="K4" s="1"/>
      <c r="L4" s="1"/>
    </row>
    <row r="5" ht="3.0" customHeight="1">
      <c r="D5" s="4"/>
      <c r="K5" s="1"/>
      <c r="L5" s="1"/>
    </row>
    <row r="6">
      <c r="B6" s="5" t="s">
        <v>3</v>
      </c>
      <c r="C6" s="6" t="s">
        <v>4</v>
      </c>
      <c r="D6" s="7" t="s">
        <v>5</v>
      </c>
      <c r="J6" s="8" t="s">
        <v>6</v>
      </c>
      <c r="K6" s="8" t="s">
        <v>7</v>
      </c>
      <c r="L6" s="8" t="s">
        <v>8</v>
      </c>
      <c r="M6" s="8" t="s">
        <v>9</v>
      </c>
      <c r="N6" s="9" t="s">
        <v>10</v>
      </c>
      <c r="O6" s="10"/>
      <c r="P6" s="10"/>
      <c r="Q6" s="10"/>
      <c r="R6" s="10"/>
      <c r="S6" s="10"/>
      <c r="T6" s="10"/>
      <c r="U6" s="10"/>
      <c r="V6" s="10"/>
    </row>
    <row r="7">
      <c r="B7" s="11">
        <v>1.0</v>
      </c>
      <c r="C7" s="12" t="s">
        <v>11</v>
      </c>
      <c r="D7" s="13">
        <v>2.0</v>
      </c>
      <c r="I7" s="14"/>
      <c r="J7" s="15" t="s">
        <v>12</v>
      </c>
      <c r="K7" s="10" t="s">
        <v>13</v>
      </c>
      <c r="L7" s="10" t="s">
        <v>14</v>
      </c>
      <c r="M7" s="16">
        <f>(D30+D39+D50+D79)/4</f>
        <v>1.5</v>
      </c>
      <c r="N7" s="16">
        <f>(M7 - 1.69) / 0.84</f>
        <v>-0.2261904762</v>
      </c>
      <c r="O7" s="10"/>
      <c r="P7" s="10"/>
      <c r="Q7" s="10"/>
      <c r="R7" s="16"/>
      <c r="S7" s="16"/>
      <c r="T7" s="16"/>
      <c r="U7" s="16"/>
      <c r="V7" s="16"/>
    </row>
    <row r="8">
      <c r="B8" s="11">
        <v>2.0</v>
      </c>
      <c r="C8" s="12" t="s">
        <v>15</v>
      </c>
      <c r="D8" s="13">
        <v>0.0</v>
      </c>
      <c r="I8" s="14"/>
      <c r="J8" s="17"/>
      <c r="K8" s="10" t="s">
        <v>16</v>
      </c>
      <c r="L8" s="10" t="s">
        <v>17</v>
      </c>
      <c r="M8" s="16">
        <f>(D44+D55+D73+D81)/4</f>
        <v>1</v>
      </c>
      <c r="N8" s="16">
        <f>(M8 - 1.46) / 0.86</f>
        <v>-0.5348837209</v>
      </c>
      <c r="O8" s="10"/>
      <c r="P8" s="10"/>
      <c r="Q8" s="10"/>
      <c r="R8" s="16"/>
      <c r="S8" s="16"/>
      <c r="T8" s="16"/>
      <c r="U8" s="16"/>
      <c r="V8" s="16"/>
    </row>
    <row r="9">
      <c r="B9" s="11">
        <v>3.0</v>
      </c>
      <c r="C9" s="12" t="s">
        <v>18</v>
      </c>
      <c r="D9" s="13">
        <v>2.0</v>
      </c>
      <c r="J9" s="17"/>
      <c r="K9" s="10" t="s">
        <v>19</v>
      </c>
      <c r="L9" s="10" t="s">
        <v>20</v>
      </c>
      <c r="M9" s="16">
        <f>(D18+D35+D68+D76)/4</f>
        <v>0</v>
      </c>
      <c r="N9" s="16">
        <f>(M9 - 1.17) / 0.7</f>
        <v>-1.671428571</v>
      </c>
      <c r="O9" s="10"/>
      <c r="P9" s="10"/>
      <c r="Q9" s="10"/>
      <c r="R9" s="16"/>
      <c r="S9" s="16"/>
      <c r="T9" s="16"/>
      <c r="U9" s="16"/>
      <c r="V9" s="16"/>
    </row>
    <row r="10">
      <c r="B10" s="11">
        <v>4.0</v>
      </c>
      <c r="C10" s="12" t="s">
        <v>21</v>
      </c>
      <c r="D10" s="13">
        <v>2.0</v>
      </c>
      <c r="J10" s="17"/>
      <c r="K10" s="10" t="s">
        <v>22</v>
      </c>
      <c r="L10" s="10" t="s">
        <v>23</v>
      </c>
      <c r="M10" s="16">
        <f>(D25+D31+D36+D48)/4</f>
        <v>0.5</v>
      </c>
      <c r="N10" s="16">
        <f>(M10 - 1.22) / 0.68</f>
        <v>-1.058823529</v>
      </c>
      <c r="O10" s="10"/>
      <c r="P10" s="10"/>
      <c r="Q10" s="10"/>
      <c r="R10" s="16"/>
      <c r="S10" s="16"/>
      <c r="T10" s="16"/>
      <c r="U10" s="16"/>
      <c r="V10" s="16"/>
    </row>
    <row r="11">
      <c r="B11" s="11">
        <v>5.0</v>
      </c>
      <c r="C11" s="12" t="s">
        <v>24</v>
      </c>
      <c r="D11" s="13">
        <v>0.0</v>
      </c>
      <c r="J11" s="17"/>
      <c r="K11" s="8" t="s">
        <v>25</v>
      </c>
      <c r="L11" s="8" t="s">
        <v>26</v>
      </c>
      <c r="M11" s="18">
        <f>((3-D34)+(3-D83)+(3-D103)+(3-D106))/4</f>
        <v>2.25</v>
      </c>
      <c r="N11" s="16">
        <f>(M11 - 0.97) / 0.69</f>
        <v>1.855072464</v>
      </c>
      <c r="O11" s="10"/>
      <c r="P11" s="10"/>
      <c r="Q11" s="10"/>
      <c r="R11" s="16"/>
      <c r="S11" s="16"/>
      <c r="T11" s="16"/>
      <c r="U11" s="16"/>
      <c r="V11" s="16"/>
    </row>
    <row r="12">
      <c r="B12" s="11">
        <v>6.0</v>
      </c>
      <c r="C12" s="12" t="s">
        <v>27</v>
      </c>
      <c r="D12" s="13">
        <v>0.0</v>
      </c>
      <c r="J12" s="17"/>
      <c r="K12" s="10" t="s">
        <v>28</v>
      </c>
      <c r="L12" s="10" t="s">
        <v>29</v>
      </c>
      <c r="M12" s="16">
        <f>(D23+D47+D60+D80)/4</f>
        <v>1.5</v>
      </c>
      <c r="N12" s="16">
        <f>(M12 - 1) / 0.81</f>
        <v>0.6172839506</v>
      </c>
      <c r="O12" s="10"/>
      <c r="P12" s="10"/>
      <c r="Q12" s="10"/>
      <c r="R12" s="16"/>
      <c r="S12" s="16"/>
      <c r="T12" s="16"/>
      <c r="U12" s="16"/>
      <c r="V12" s="16"/>
    </row>
    <row r="13">
      <c r="B13" s="11">
        <v>7.0</v>
      </c>
      <c r="C13" s="12" t="s">
        <v>30</v>
      </c>
      <c r="D13" s="13">
        <v>0.0</v>
      </c>
      <c r="J13" s="17"/>
      <c r="K13" s="10" t="s">
        <v>31</v>
      </c>
      <c r="L13" s="10" t="s">
        <v>32</v>
      </c>
      <c r="M13" s="16">
        <f>(D9+D10+D26+D90)/4</f>
        <v>1.5</v>
      </c>
      <c r="N13" s="16">
        <f>(M13 - 1.33) / 0.76</f>
        <v>0.2236842105</v>
      </c>
      <c r="O13" s="10"/>
      <c r="P13" s="10"/>
      <c r="Q13" s="10"/>
      <c r="R13" s="16"/>
      <c r="S13" s="16"/>
      <c r="T13" s="16"/>
      <c r="U13" s="16"/>
      <c r="V13" s="16"/>
    </row>
    <row r="14">
      <c r="B14" s="11">
        <v>8.0</v>
      </c>
      <c r="C14" s="12" t="s">
        <v>33</v>
      </c>
      <c r="D14" s="13">
        <v>0.0</v>
      </c>
      <c r="J14" s="15" t="s">
        <v>34</v>
      </c>
      <c r="K14" s="10" t="s">
        <v>35</v>
      </c>
      <c r="L14" s="10" t="s">
        <v>36</v>
      </c>
      <c r="M14" s="16">
        <f>(D15+D17+D45+D67)/4</f>
        <v>0.5</v>
      </c>
      <c r="N14" s="16">
        <f>(M14 - 1.46) / 0.8</f>
        <v>-1.2</v>
      </c>
      <c r="O14" s="10"/>
      <c r="P14" s="10"/>
      <c r="Q14" s="10"/>
      <c r="R14" s="16"/>
      <c r="S14" s="16"/>
      <c r="T14" s="16"/>
      <c r="U14" s="16"/>
      <c r="V14" s="16"/>
    </row>
    <row r="15">
      <c r="B15" s="11">
        <v>9.0</v>
      </c>
      <c r="C15" s="12" t="s">
        <v>37</v>
      </c>
      <c r="D15" s="13">
        <v>1.0</v>
      </c>
      <c r="J15" s="17"/>
      <c r="K15" s="10" t="s">
        <v>38</v>
      </c>
      <c r="L15" s="10" t="s">
        <v>39</v>
      </c>
      <c r="M15" s="16">
        <f>(D32+D62+D72+D75)/4</f>
        <v>0.25</v>
      </c>
      <c r="N15" s="16">
        <f>(M15 - 1.23) / 0.83</f>
        <v>-1.180722892</v>
      </c>
      <c r="O15" s="10"/>
      <c r="P15" s="10"/>
      <c r="Q15" s="10"/>
      <c r="R15" s="16"/>
      <c r="S15" s="16"/>
      <c r="T15" s="16"/>
      <c r="U15" s="16"/>
      <c r="V15" s="16"/>
    </row>
    <row r="16">
      <c r="B16" s="11">
        <v>10.0</v>
      </c>
      <c r="C16" s="12" t="s">
        <v>40</v>
      </c>
      <c r="D16" s="13">
        <v>0.0</v>
      </c>
      <c r="J16" s="17"/>
      <c r="K16" s="10" t="s">
        <v>41</v>
      </c>
      <c r="L16" s="10" t="s">
        <v>42</v>
      </c>
      <c r="M16" s="16">
        <f>(D34+D46+D58+D91)/4</f>
        <v>0</v>
      </c>
      <c r="N16" s="16">
        <f>(M16 - 0.97) / 0.82</f>
        <v>-1.182926829</v>
      </c>
      <c r="O16" s="10"/>
      <c r="P16" s="10"/>
      <c r="Q16" s="10"/>
      <c r="R16" s="16"/>
      <c r="S16" s="16"/>
      <c r="T16" s="16"/>
      <c r="U16" s="16"/>
      <c r="V16" s="16"/>
    </row>
    <row r="17">
      <c r="B17" s="11">
        <v>11.0</v>
      </c>
      <c r="C17" s="12" t="s">
        <v>43</v>
      </c>
      <c r="D17" s="13">
        <v>0.0</v>
      </c>
      <c r="J17" s="17"/>
      <c r="K17" s="10" t="s">
        <v>44</v>
      </c>
      <c r="L17" s="10" t="s">
        <v>45</v>
      </c>
      <c r="M17" s="16">
        <f>(D7+D41+D49+D85)/4</f>
        <v>0.5</v>
      </c>
      <c r="N17" s="16">
        <f>(M17 - 1.23) / 0.64</f>
        <v>-1.140625</v>
      </c>
      <c r="O17" s="10"/>
      <c r="P17" s="10"/>
      <c r="Q17" s="10"/>
      <c r="R17" s="16"/>
      <c r="S17" s="16"/>
      <c r="T17" s="16"/>
      <c r="U17" s="16"/>
      <c r="V17" s="16"/>
    </row>
    <row r="18">
      <c r="B18" s="11">
        <v>12.0</v>
      </c>
      <c r="C18" s="12" t="s">
        <v>46</v>
      </c>
      <c r="D18" s="13">
        <v>0.0</v>
      </c>
      <c r="J18" s="17"/>
      <c r="K18" s="10" t="s">
        <v>47</v>
      </c>
      <c r="L18" s="10" t="s">
        <v>48</v>
      </c>
      <c r="M18" s="16">
        <f>(D33+D54+D61+D83)/4</f>
        <v>0.25</v>
      </c>
      <c r="N18" s="16">
        <f>(M18 - 1.63) / 0.84</f>
        <v>-1.642857143</v>
      </c>
      <c r="O18" s="10"/>
      <c r="P18" s="10"/>
      <c r="Q18" s="10"/>
      <c r="R18" s="16"/>
      <c r="S18" s="16"/>
      <c r="T18" s="16"/>
      <c r="U18" s="16"/>
      <c r="V18" s="16"/>
    </row>
    <row r="19">
      <c r="B19" s="11">
        <v>13.0</v>
      </c>
      <c r="C19" s="12" t="s">
        <v>49</v>
      </c>
      <c r="D19" s="13">
        <v>0.0</v>
      </c>
      <c r="J19" s="15" t="s">
        <v>50</v>
      </c>
      <c r="K19" s="10" t="s">
        <v>51</v>
      </c>
      <c r="L19" s="10" t="s">
        <v>52</v>
      </c>
      <c r="M19" s="16">
        <f>(D29+D79+D94+D102)/4</f>
        <v>1</v>
      </c>
      <c r="N19" s="16">
        <f>(M19 - 0.95) / 0.75</f>
        <v>0.06666666667</v>
      </c>
      <c r="O19" s="10"/>
      <c r="P19" s="10"/>
      <c r="Q19" s="10"/>
      <c r="R19" s="16"/>
      <c r="S19" s="16"/>
      <c r="T19" s="16"/>
      <c r="U19" s="16"/>
      <c r="V19" s="16"/>
    </row>
    <row r="20">
      <c r="B20" s="11">
        <v>14.0</v>
      </c>
      <c r="C20" s="12" t="s">
        <v>53</v>
      </c>
      <c r="D20" s="13">
        <v>0.0</v>
      </c>
      <c r="J20" s="17"/>
      <c r="K20" s="10" t="s">
        <v>54</v>
      </c>
      <c r="L20" s="10" t="s">
        <v>55</v>
      </c>
      <c r="M20" s="16">
        <f>(D13+D65+D74+D89)/4</f>
        <v>0</v>
      </c>
      <c r="N20" s="16">
        <f>(M20 - 0.47) / 0.47</f>
        <v>-1</v>
      </c>
      <c r="O20" s="10"/>
      <c r="P20" s="10"/>
      <c r="Q20" s="10"/>
      <c r="R20" s="16"/>
      <c r="S20" s="16"/>
      <c r="T20" s="16"/>
      <c r="U20" s="16"/>
      <c r="V20" s="16"/>
    </row>
    <row r="21">
      <c r="B21" s="11">
        <v>15.0</v>
      </c>
      <c r="C21" s="12" t="s">
        <v>56</v>
      </c>
      <c r="D21" s="13">
        <v>0.0</v>
      </c>
      <c r="J21" s="17"/>
      <c r="K21" s="10" t="s">
        <v>57</v>
      </c>
      <c r="L21" s="10" t="s">
        <v>58</v>
      </c>
      <c r="M21" s="16">
        <f>(D24+D46+D82+D104)/4</f>
        <v>0</v>
      </c>
      <c r="N21" s="16">
        <f>(M21 - 0.77) / 0.68</f>
        <v>-1.132352941</v>
      </c>
      <c r="O21" s="10"/>
      <c r="P21" s="10"/>
      <c r="Q21" s="10"/>
      <c r="R21" s="16"/>
      <c r="S21" s="16"/>
      <c r="T21" s="16"/>
      <c r="U21" s="16"/>
      <c r="V21" s="16"/>
    </row>
    <row r="22">
      <c r="B22" s="11">
        <v>16.0</v>
      </c>
      <c r="C22" s="12" t="s">
        <v>59</v>
      </c>
      <c r="D22" s="13">
        <v>0.0</v>
      </c>
      <c r="J22" s="17"/>
      <c r="K22" s="10" t="s">
        <v>60</v>
      </c>
      <c r="L22" s="10" t="s">
        <v>61</v>
      </c>
      <c r="M22" s="16">
        <f>(D20+D40+D80+D97)/4</f>
        <v>0.5</v>
      </c>
      <c r="N22" s="16">
        <f>(M22 - 0.7) / 0.61</f>
        <v>-0.3278688525</v>
      </c>
      <c r="O22" s="10"/>
      <c r="P22" s="10"/>
      <c r="Q22" s="10"/>
      <c r="R22" s="16"/>
      <c r="S22" s="16"/>
      <c r="T22" s="16"/>
      <c r="U22" s="16"/>
      <c r="V22" s="16"/>
    </row>
    <row r="23">
      <c r="B23" s="11">
        <v>17.0</v>
      </c>
      <c r="C23" s="12" t="s">
        <v>62</v>
      </c>
      <c r="D23" s="13">
        <v>1.0</v>
      </c>
      <c r="J23" s="17"/>
      <c r="K23" s="10" t="s">
        <v>63</v>
      </c>
      <c r="L23" s="10" t="s">
        <v>64</v>
      </c>
      <c r="M23" s="16">
        <f>(D38+D50+D68+D105)/4</f>
        <v>0.5</v>
      </c>
      <c r="N23" s="16">
        <f>(M23 - 0.85) / 0.76</f>
        <v>-0.4605263158</v>
      </c>
      <c r="O23" s="10"/>
      <c r="P23" s="10"/>
      <c r="Q23" s="10"/>
      <c r="R23" s="16"/>
      <c r="S23" s="16"/>
      <c r="T23" s="16"/>
      <c r="U23" s="16"/>
      <c r="V23" s="16"/>
    </row>
    <row r="24">
      <c r="B24" s="11">
        <v>18.0</v>
      </c>
      <c r="C24" s="12" t="s">
        <v>65</v>
      </c>
      <c r="D24" s="13">
        <v>0.0</v>
      </c>
      <c r="J24" s="15" t="s">
        <v>66</v>
      </c>
      <c r="K24" s="10" t="s">
        <v>67</v>
      </c>
      <c r="L24" s="10" t="s">
        <v>68</v>
      </c>
      <c r="M24" s="16">
        <f>(D42+D51+D57+D89)/4</f>
        <v>0.5</v>
      </c>
      <c r="N24" s="16">
        <f>(M24 - 1.43) / 0.8</f>
        <v>-1.1625</v>
      </c>
      <c r="O24" s="10"/>
      <c r="P24" s="10"/>
      <c r="Q24" s="10"/>
      <c r="R24" s="16"/>
      <c r="S24" s="16"/>
      <c r="T24" s="16"/>
      <c r="U24" s="16"/>
      <c r="V24" s="16"/>
    </row>
    <row r="25">
      <c r="B25" s="11">
        <v>19.0</v>
      </c>
      <c r="C25" s="12" t="s">
        <v>69</v>
      </c>
      <c r="D25" s="13">
        <v>0.0</v>
      </c>
      <c r="J25" s="17"/>
      <c r="K25" s="10" t="s">
        <v>70</v>
      </c>
      <c r="L25" s="10" t="s">
        <v>71</v>
      </c>
      <c r="M25" s="16">
        <f>(D8+D11+D12+D14)/4</f>
        <v>0</v>
      </c>
      <c r="N25" s="16">
        <f>(M25 - 1.12) / 0.78</f>
        <v>-1.435897436</v>
      </c>
      <c r="O25" s="10"/>
      <c r="P25" s="10"/>
      <c r="Q25" s="10"/>
      <c r="R25" s="16"/>
      <c r="S25" s="16"/>
      <c r="T25" s="16"/>
      <c r="U25" s="16"/>
      <c r="V25" s="16"/>
    </row>
    <row r="26">
      <c r="B26" s="11">
        <v>20.0</v>
      </c>
      <c r="C26" s="12" t="s">
        <v>72</v>
      </c>
      <c r="D26" s="13">
        <v>2.0</v>
      </c>
      <c r="J26" s="17"/>
      <c r="K26" s="10" t="s">
        <v>73</v>
      </c>
      <c r="L26" s="10" t="s">
        <v>74</v>
      </c>
      <c r="M26" s="16">
        <f>(D30+D66+D77+D95)/4</f>
        <v>0.5</v>
      </c>
      <c r="N26" s="16">
        <f>(M26 - 0.77) / 0.64</f>
        <v>-0.421875</v>
      </c>
      <c r="O26" s="10"/>
      <c r="P26" s="10"/>
      <c r="Q26" s="10"/>
      <c r="R26" s="16"/>
      <c r="S26" s="16"/>
      <c r="T26" s="16"/>
      <c r="U26" s="16"/>
      <c r="V26" s="16"/>
    </row>
    <row r="27">
      <c r="B27" s="11">
        <v>21.0</v>
      </c>
      <c r="C27" s="12" t="s">
        <v>75</v>
      </c>
      <c r="D27" s="13">
        <v>2.0</v>
      </c>
      <c r="J27" s="17"/>
      <c r="K27" s="8" t="s">
        <v>76</v>
      </c>
      <c r="L27" s="8" t="s">
        <v>77</v>
      </c>
      <c r="M27" s="18">
        <f>((3-D99)+(3-D100)+(3-D102)+(3-D104))/4</f>
        <v>2.25</v>
      </c>
      <c r="N27" s="16">
        <f>(M27 - 1.12) / 0.72</f>
        <v>1.569444444</v>
      </c>
      <c r="O27" s="10"/>
      <c r="P27" s="10"/>
      <c r="Q27" s="10"/>
      <c r="R27" s="16"/>
      <c r="S27" s="16"/>
      <c r="T27" s="16"/>
      <c r="U27" s="16"/>
      <c r="V27" s="16"/>
    </row>
    <row r="28">
      <c r="B28" s="11">
        <v>22.0</v>
      </c>
      <c r="C28" s="12" t="s">
        <v>78</v>
      </c>
      <c r="D28" s="13">
        <v>1.0</v>
      </c>
      <c r="J28" s="17"/>
      <c r="K28" s="10" t="s">
        <v>79</v>
      </c>
      <c r="L28" s="10" t="s">
        <v>80</v>
      </c>
      <c r="M28" s="16">
        <f>(D19+D22+D27+D69)/4</f>
        <v>0.5</v>
      </c>
      <c r="N28" s="16">
        <f>(M28 - 1.19) / 0.59</f>
        <v>-1.169491525</v>
      </c>
      <c r="O28" s="10"/>
      <c r="P28" s="10"/>
      <c r="Q28" s="10"/>
      <c r="R28" s="16"/>
      <c r="S28" s="16"/>
      <c r="T28" s="16"/>
      <c r="U28" s="16"/>
      <c r="V28" s="16"/>
    </row>
    <row r="29">
      <c r="B29" s="11">
        <v>23.0</v>
      </c>
      <c r="C29" s="12" t="s">
        <v>81</v>
      </c>
      <c r="D29" s="13">
        <v>1.0</v>
      </c>
      <c r="J29" s="15" t="s">
        <v>82</v>
      </c>
      <c r="K29" s="10" t="s">
        <v>83</v>
      </c>
      <c r="L29" s="10" t="s">
        <v>84</v>
      </c>
      <c r="M29" s="16">
        <f>(D16+D28+D63+D91)/4</f>
        <v>0.25</v>
      </c>
      <c r="N29" s="16">
        <f>(M29 - 1.17) / 0.81</f>
        <v>-1.135802469</v>
      </c>
      <c r="O29" s="10"/>
      <c r="P29" s="10"/>
      <c r="Q29" s="10"/>
      <c r="R29" s="16"/>
      <c r="S29" s="16"/>
      <c r="T29" s="16"/>
      <c r="U29" s="16"/>
      <c r="V29" s="16"/>
    </row>
    <row r="30">
      <c r="B30" s="11">
        <v>24.0</v>
      </c>
      <c r="C30" s="12" t="s">
        <v>85</v>
      </c>
      <c r="D30" s="13">
        <v>2.0</v>
      </c>
      <c r="J30" s="17"/>
      <c r="K30" s="10" t="s">
        <v>86</v>
      </c>
      <c r="L30" s="10" t="s">
        <v>87</v>
      </c>
      <c r="M30" s="16">
        <f>(D21+D37+D56+D98)/4</f>
        <v>0</v>
      </c>
      <c r="N30" s="16">
        <f>(M30 - 0.79) / 0.58</f>
        <v>-1.362068966</v>
      </c>
      <c r="O30" s="10"/>
      <c r="P30" s="10"/>
      <c r="Q30" s="10"/>
      <c r="R30" s="16"/>
      <c r="S30" s="16"/>
      <c r="T30" s="16"/>
      <c r="U30" s="16"/>
      <c r="V30" s="16"/>
    </row>
    <row r="31">
      <c r="B31" s="11">
        <v>25.0</v>
      </c>
      <c r="C31" s="12" t="s">
        <v>88</v>
      </c>
      <c r="D31" s="13">
        <v>2.0</v>
      </c>
      <c r="J31" s="17"/>
      <c r="K31" s="10" t="s">
        <v>89</v>
      </c>
      <c r="L31" s="10" t="s">
        <v>90</v>
      </c>
      <c r="M31" s="16">
        <f>(D40+D53+D61+D94)/4</f>
        <v>0</v>
      </c>
      <c r="N31" s="16">
        <f>(M31 - 0.77) / 0.67</f>
        <v>-1.149253731</v>
      </c>
      <c r="O31" s="10"/>
      <c r="P31" s="10"/>
      <c r="Q31" s="10"/>
      <c r="R31" s="16"/>
      <c r="S31" s="16"/>
      <c r="T31" s="16"/>
      <c r="U31" s="16"/>
      <c r="V31" s="16"/>
    </row>
    <row r="32">
      <c r="B32" s="11">
        <v>26.0</v>
      </c>
      <c r="C32" s="12" t="s">
        <v>91</v>
      </c>
      <c r="D32" s="13">
        <v>0.0</v>
      </c>
      <c r="K32" s="1"/>
      <c r="L32" s="1"/>
    </row>
    <row r="33">
      <c r="B33" s="11">
        <v>27.0</v>
      </c>
      <c r="C33" s="12" t="s">
        <v>92</v>
      </c>
      <c r="D33" s="13">
        <v>1.0</v>
      </c>
      <c r="K33" s="1"/>
      <c r="L33" s="1"/>
    </row>
    <row r="34">
      <c r="B34" s="11">
        <v>28.0</v>
      </c>
      <c r="C34" s="12" t="s">
        <v>93</v>
      </c>
      <c r="D34" s="13">
        <v>0.0</v>
      </c>
      <c r="K34" s="1"/>
      <c r="L34" s="1"/>
    </row>
    <row r="35">
      <c r="B35" s="11">
        <v>29.0</v>
      </c>
      <c r="C35" s="12" t="s">
        <v>94</v>
      </c>
      <c r="D35" s="13">
        <v>0.0</v>
      </c>
      <c r="K35" s="1"/>
      <c r="L35" s="1"/>
    </row>
    <row r="36">
      <c r="B36" s="11">
        <v>30.0</v>
      </c>
      <c r="C36" s="12" t="s">
        <v>95</v>
      </c>
      <c r="D36" s="13">
        <v>0.0</v>
      </c>
      <c r="K36" s="1"/>
      <c r="L36" s="1"/>
    </row>
    <row r="37">
      <c r="B37" s="11">
        <v>31.0</v>
      </c>
      <c r="C37" s="12" t="s">
        <v>96</v>
      </c>
      <c r="D37" s="13">
        <v>0.0</v>
      </c>
      <c r="K37" s="1"/>
      <c r="L37" s="1"/>
    </row>
    <row r="38">
      <c r="B38" s="11">
        <v>32.0</v>
      </c>
      <c r="C38" s="12" t="s">
        <v>97</v>
      </c>
      <c r="D38" s="13">
        <v>0.0</v>
      </c>
      <c r="K38" s="1"/>
      <c r="L38" s="1"/>
    </row>
    <row r="39">
      <c r="B39" s="11">
        <v>33.0</v>
      </c>
      <c r="C39" s="12" t="s">
        <v>98</v>
      </c>
      <c r="D39" s="13">
        <v>1.0</v>
      </c>
      <c r="K39" s="1"/>
      <c r="L39" s="1"/>
    </row>
    <row r="40">
      <c r="B40" s="11">
        <v>34.0</v>
      </c>
      <c r="C40" s="12" t="s">
        <v>99</v>
      </c>
      <c r="D40" s="13">
        <v>0.0</v>
      </c>
      <c r="K40" s="1"/>
      <c r="L40" s="1"/>
    </row>
    <row r="41">
      <c r="B41" s="11">
        <v>35.0</v>
      </c>
      <c r="C41" s="12" t="s">
        <v>100</v>
      </c>
      <c r="D41" s="13">
        <v>0.0</v>
      </c>
      <c r="K41" s="1"/>
      <c r="L41" s="1"/>
    </row>
    <row r="42">
      <c r="B42" s="11">
        <v>36.0</v>
      </c>
      <c r="C42" s="12" t="s">
        <v>101</v>
      </c>
      <c r="D42" s="13">
        <v>1.0</v>
      </c>
      <c r="K42" s="1"/>
      <c r="L42" s="1"/>
    </row>
    <row r="43">
      <c r="B43" s="11">
        <v>37.0</v>
      </c>
      <c r="C43" s="12" t="s">
        <v>102</v>
      </c>
      <c r="D43" s="13">
        <v>0.0</v>
      </c>
      <c r="K43" s="1"/>
      <c r="L43" s="1"/>
    </row>
    <row r="44">
      <c r="B44" s="11">
        <v>38.0</v>
      </c>
      <c r="C44" s="12" t="s">
        <v>103</v>
      </c>
      <c r="D44" s="13">
        <v>1.0</v>
      </c>
      <c r="K44" s="1"/>
      <c r="L44" s="1"/>
    </row>
    <row r="45">
      <c r="B45" s="11">
        <v>39.0</v>
      </c>
      <c r="C45" s="12" t="s">
        <v>104</v>
      </c>
      <c r="D45" s="13">
        <v>1.0</v>
      </c>
      <c r="K45" s="1"/>
      <c r="L45" s="1"/>
    </row>
    <row r="46">
      <c r="B46" s="11">
        <v>40.0</v>
      </c>
      <c r="C46" s="12" t="s">
        <v>105</v>
      </c>
      <c r="D46" s="13">
        <v>0.0</v>
      </c>
      <c r="K46" s="1"/>
      <c r="L46" s="1"/>
    </row>
    <row r="47">
      <c r="B47" s="11">
        <v>41.0</v>
      </c>
      <c r="C47" s="12" t="s">
        <v>106</v>
      </c>
      <c r="D47" s="13">
        <v>3.0</v>
      </c>
      <c r="K47" s="1"/>
      <c r="L47" s="1"/>
    </row>
    <row r="48">
      <c r="B48" s="11">
        <v>42.0</v>
      </c>
      <c r="C48" s="12" t="s">
        <v>107</v>
      </c>
      <c r="D48" s="13">
        <v>0.0</v>
      </c>
      <c r="K48" s="1"/>
      <c r="L48" s="1"/>
    </row>
    <row r="49">
      <c r="B49" s="11">
        <v>43.0</v>
      </c>
      <c r="C49" s="12" t="s">
        <v>108</v>
      </c>
      <c r="D49" s="13">
        <v>0.0</v>
      </c>
      <c r="K49" s="1"/>
      <c r="L49" s="1"/>
    </row>
    <row r="50">
      <c r="B50" s="11">
        <v>44.0</v>
      </c>
      <c r="C50" s="12" t="s">
        <v>109</v>
      </c>
      <c r="D50" s="13">
        <v>1.0</v>
      </c>
      <c r="K50" s="1"/>
      <c r="L50" s="1"/>
    </row>
    <row r="51">
      <c r="B51" s="11">
        <v>45.0</v>
      </c>
      <c r="C51" s="12" t="s">
        <v>110</v>
      </c>
      <c r="D51" s="13">
        <v>1.0</v>
      </c>
      <c r="K51" s="1"/>
      <c r="L51" s="1"/>
    </row>
    <row r="52">
      <c r="B52" s="11">
        <v>46.0</v>
      </c>
      <c r="C52" s="12" t="s">
        <v>111</v>
      </c>
      <c r="D52" s="13">
        <v>1.0</v>
      </c>
      <c r="K52" s="1"/>
      <c r="L52" s="1"/>
    </row>
    <row r="53">
      <c r="B53" s="11">
        <v>47.0</v>
      </c>
      <c r="C53" s="12" t="s">
        <v>112</v>
      </c>
      <c r="D53" s="13">
        <v>0.0</v>
      </c>
      <c r="K53" s="1"/>
      <c r="L53" s="1"/>
    </row>
    <row r="54">
      <c r="B54" s="11">
        <v>48.0</v>
      </c>
      <c r="C54" s="12" t="s">
        <v>113</v>
      </c>
      <c r="D54" s="13">
        <v>0.0</v>
      </c>
      <c r="K54" s="1"/>
      <c r="L54" s="1"/>
    </row>
    <row r="55">
      <c r="B55" s="11">
        <v>49.0</v>
      </c>
      <c r="C55" s="12" t="s">
        <v>114</v>
      </c>
      <c r="D55" s="13">
        <v>1.0</v>
      </c>
      <c r="K55" s="1"/>
      <c r="L55" s="1"/>
    </row>
    <row r="56">
      <c r="B56" s="11">
        <v>50.0</v>
      </c>
      <c r="C56" s="12" t="s">
        <v>115</v>
      </c>
      <c r="D56" s="13">
        <v>0.0</v>
      </c>
      <c r="K56" s="1"/>
      <c r="L56" s="1"/>
    </row>
    <row r="57">
      <c r="B57" s="11">
        <v>51.0</v>
      </c>
      <c r="C57" s="12" t="s">
        <v>116</v>
      </c>
      <c r="D57" s="13">
        <v>0.0</v>
      </c>
      <c r="K57" s="1"/>
      <c r="L57" s="1"/>
    </row>
    <row r="58">
      <c r="B58" s="11">
        <v>52.0</v>
      </c>
      <c r="C58" s="12" t="s">
        <v>117</v>
      </c>
      <c r="D58" s="13">
        <v>0.0</v>
      </c>
      <c r="K58" s="1"/>
      <c r="L58" s="1"/>
    </row>
    <row r="59">
      <c r="B59" s="11">
        <v>53.0</v>
      </c>
      <c r="C59" s="12" t="s">
        <v>118</v>
      </c>
      <c r="D59" s="13">
        <v>0.0</v>
      </c>
      <c r="K59" s="1"/>
      <c r="L59" s="1"/>
    </row>
    <row r="60">
      <c r="B60" s="11">
        <v>54.0</v>
      </c>
      <c r="C60" s="12" t="s">
        <v>119</v>
      </c>
      <c r="D60" s="13">
        <v>0.0</v>
      </c>
      <c r="K60" s="1"/>
      <c r="L60" s="1"/>
    </row>
    <row r="61">
      <c r="B61" s="11">
        <v>55.0</v>
      </c>
      <c r="C61" s="12" t="s">
        <v>120</v>
      </c>
      <c r="D61" s="13">
        <v>0.0</v>
      </c>
      <c r="K61" s="1"/>
      <c r="L61" s="1"/>
    </row>
    <row r="62">
      <c r="B62" s="11">
        <v>56.0</v>
      </c>
      <c r="C62" s="12" t="s">
        <v>121</v>
      </c>
      <c r="D62" s="13">
        <v>1.0</v>
      </c>
      <c r="K62" s="1"/>
      <c r="L62" s="1"/>
    </row>
    <row r="63">
      <c r="B63" s="11">
        <v>57.0</v>
      </c>
      <c r="C63" s="12" t="s">
        <v>122</v>
      </c>
      <c r="D63" s="13">
        <v>0.0</v>
      </c>
      <c r="K63" s="1"/>
      <c r="L63" s="1"/>
    </row>
    <row r="64">
      <c r="B64" s="11">
        <v>58.0</v>
      </c>
      <c r="C64" s="12" t="s">
        <v>123</v>
      </c>
      <c r="D64" s="13">
        <v>0.0</v>
      </c>
      <c r="K64" s="1"/>
      <c r="L64" s="1"/>
    </row>
    <row r="65">
      <c r="B65" s="11">
        <v>59.0</v>
      </c>
      <c r="C65" s="12" t="s">
        <v>124</v>
      </c>
      <c r="D65" s="13">
        <v>0.0</v>
      </c>
      <c r="K65" s="1"/>
      <c r="L65" s="1"/>
    </row>
    <row r="66">
      <c r="B66" s="11">
        <v>60.0</v>
      </c>
      <c r="C66" s="12" t="s">
        <v>125</v>
      </c>
      <c r="D66" s="13">
        <v>0.0</v>
      </c>
      <c r="K66" s="1"/>
      <c r="L66" s="1"/>
    </row>
    <row r="67">
      <c r="B67" s="11">
        <v>61.0</v>
      </c>
      <c r="C67" s="12" t="s">
        <v>126</v>
      </c>
      <c r="D67" s="13">
        <v>0.0</v>
      </c>
      <c r="K67" s="1"/>
      <c r="L67" s="1"/>
    </row>
    <row r="68">
      <c r="B68" s="11">
        <v>62.0</v>
      </c>
      <c r="C68" s="12" t="s">
        <v>127</v>
      </c>
      <c r="D68" s="13">
        <v>0.0</v>
      </c>
      <c r="K68" s="1"/>
      <c r="L68" s="1"/>
    </row>
    <row r="69">
      <c r="B69" s="11">
        <v>63.0</v>
      </c>
      <c r="C69" s="12" t="s">
        <v>128</v>
      </c>
      <c r="D69" s="13">
        <v>0.0</v>
      </c>
      <c r="K69" s="1"/>
      <c r="L69" s="1"/>
    </row>
    <row r="70">
      <c r="B70" s="11">
        <v>64.0</v>
      </c>
      <c r="C70" s="12" t="s">
        <v>129</v>
      </c>
      <c r="D70" s="13">
        <v>0.0</v>
      </c>
      <c r="K70" s="1"/>
      <c r="L70" s="1"/>
    </row>
    <row r="71">
      <c r="B71" s="11">
        <v>65.0</v>
      </c>
      <c r="C71" s="12" t="s">
        <v>130</v>
      </c>
      <c r="D71" s="13">
        <v>0.0</v>
      </c>
      <c r="K71" s="1"/>
      <c r="L71" s="1"/>
    </row>
    <row r="72">
      <c r="B72" s="11">
        <v>66.0</v>
      </c>
      <c r="C72" s="12" t="s">
        <v>131</v>
      </c>
      <c r="D72" s="13">
        <v>0.0</v>
      </c>
      <c r="K72" s="1"/>
      <c r="L72" s="1"/>
    </row>
    <row r="73">
      <c r="B73" s="11">
        <v>67.0</v>
      </c>
      <c r="C73" s="12" t="s">
        <v>132</v>
      </c>
      <c r="D73" s="13">
        <v>1.0</v>
      </c>
      <c r="K73" s="1"/>
      <c r="L73" s="1"/>
    </row>
    <row r="74">
      <c r="B74" s="11">
        <v>68.0</v>
      </c>
      <c r="C74" s="12" t="s">
        <v>133</v>
      </c>
      <c r="D74" s="13">
        <v>0.0</v>
      </c>
      <c r="K74" s="1"/>
      <c r="L74" s="1"/>
    </row>
    <row r="75">
      <c r="B75" s="11">
        <v>69.0</v>
      </c>
      <c r="C75" s="12" t="s">
        <v>134</v>
      </c>
      <c r="D75" s="13">
        <v>0.0</v>
      </c>
      <c r="K75" s="1"/>
      <c r="L75" s="1"/>
    </row>
    <row r="76">
      <c r="B76" s="11">
        <v>70.0</v>
      </c>
      <c r="C76" s="12" t="s">
        <v>135</v>
      </c>
      <c r="D76" s="13">
        <v>0.0</v>
      </c>
      <c r="K76" s="1"/>
      <c r="L76" s="1"/>
    </row>
    <row r="77">
      <c r="B77" s="11">
        <v>71.0</v>
      </c>
      <c r="C77" s="12" t="s">
        <v>136</v>
      </c>
      <c r="D77" s="13">
        <v>0.0</v>
      </c>
      <c r="K77" s="1"/>
      <c r="L77" s="1"/>
    </row>
    <row r="78">
      <c r="B78" s="11">
        <v>72.0</v>
      </c>
      <c r="C78" s="12" t="s">
        <v>137</v>
      </c>
      <c r="D78" s="13">
        <v>0.0</v>
      </c>
      <c r="K78" s="1"/>
      <c r="L78" s="1"/>
    </row>
    <row r="79">
      <c r="B79" s="11">
        <v>73.0</v>
      </c>
      <c r="C79" s="12" t="s">
        <v>138</v>
      </c>
      <c r="D79" s="13">
        <v>2.0</v>
      </c>
      <c r="K79" s="1"/>
      <c r="L79" s="1"/>
    </row>
    <row r="80">
      <c r="B80" s="11">
        <v>74.0</v>
      </c>
      <c r="C80" s="12" t="s">
        <v>139</v>
      </c>
      <c r="D80" s="13">
        <v>2.0</v>
      </c>
      <c r="K80" s="1"/>
      <c r="L80" s="1"/>
    </row>
    <row r="81">
      <c r="B81" s="11">
        <v>75.0</v>
      </c>
      <c r="C81" s="12" t="s">
        <v>140</v>
      </c>
      <c r="D81" s="13">
        <v>1.0</v>
      </c>
      <c r="K81" s="1"/>
      <c r="L81" s="1"/>
    </row>
    <row r="82">
      <c r="B82" s="11">
        <v>76.0</v>
      </c>
      <c r="C82" s="12" t="s">
        <v>141</v>
      </c>
      <c r="D82" s="13">
        <v>0.0</v>
      </c>
      <c r="K82" s="1"/>
      <c r="L82" s="1"/>
    </row>
    <row r="83">
      <c r="B83" s="11">
        <v>77.0</v>
      </c>
      <c r="C83" s="12" t="s">
        <v>142</v>
      </c>
      <c r="D83" s="13">
        <v>0.0</v>
      </c>
      <c r="K83" s="1"/>
      <c r="L83" s="1"/>
    </row>
    <row r="84">
      <c r="B84" s="11">
        <v>78.0</v>
      </c>
      <c r="C84" s="12" t="s">
        <v>143</v>
      </c>
      <c r="D84" s="13">
        <v>1.0</v>
      </c>
      <c r="K84" s="1"/>
      <c r="L84" s="1"/>
    </row>
    <row r="85">
      <c r="B85" s="11">
        <v>79.0</v>
      </c>
      <c r="C85" s="12" t="s">
        <v>144</v>
      </c>
      <c r="D85" s="13">
        <v>0.0</v>
      </c>
      <c r="K85" s="1"/>
      <c r="L85" s="1"/>
    </row>
    <row r="86">
      <c r="B86" s="11">
        <v>80.0</v>
      </c>
      <c r="C86" s="12" t="s">
        <v>145</v>
      </c>
      <c r="D86" s="13">
        <v>0.0</v>
      </c>
      <c r="K86" s="1"/>
      <c r="L86" s="1"/>
    </row>
    <row r="87">
      <c r="B87" s="11">
        <v>81.0</v>
      </c>
      <c r="C87" s="12" t="s">
        <v>146</v>
      </c>
      <c r="D87" s="13">
        <v>0.0</v>
      </c>
      <c r="K87" s="1"/>
      <c r="L87" s="1"/>
    </row>
    <row r="88">
      <c r="B88" s="11">
        <v>82.0</v>
      </c>
      <c r="C88" s="12" t="s">
        <v>147</v>
      </c>
      <c r="D88" s="13">
        <v>0.0</v>
      </c>
      <c r="K88" s="1"/>
      <c r="L88" s="1"/>
    </row>
    <row r="89">
      <c r="B89" s="11">
        <v>83.0</v>
      </c>
      <c r="C89" s="12" t="s">
        <v>148</v>
      </c>
      <c r="D89" s="13">
        <v>0.0</v>
      </c>
      <c r="K89" s="1"/>
      <c r="L89" s="1"/>
    </row>
    <row r="90">
      <c r="B90" s="11">
        <v>84.0</v>
      </c>
      <c r="C90" s="12" t="s">
        <v>149</v>
      </c>
      <c r="D90" s="13">
        <v>0.0</v>
      </c>
      <c r="K90" s="1"/>
      <c r="L90" s="1"/>
    </row>
    <row r="91">
      <c r="B91" s="11">
        <v>85.0</v>
      </c>
      <c r="C91" s="12" t="s">
        <v>150</v>
      </c>
      <c r="D91" s="13">
        <v>0.0</v>
      </c>
      <c r="K91" s="1"/>
      <c r="L91" s="1"/>
    </row>
    <row r="92">
      <c r="B92" s="11">
        <v>86.0</v>
      </c>
      <c r="C92" s="12" t="s">
        <v>151</v>
      </c>
      <c r="D92" s="13">
        <v>0.0</v>
      </c>
      <c r="K92" s="1"/>
      <c r="L92" s="1"/>
    </row>
    <row r="93">
      <c r="B93" s="11">
        <v>87.0</v>
      </c>
      <c r="C93" s="12" t="s">
        <v>152</v>
      </c>
      <c r="D93" s="13">
        <v>0.0</v>
      </c>
      <c r="K93" s="1"/>
      <c r="L93" s="1"/>
    </row>
    <row r="94">
      <c r="B94" s="11">
        <v>88.0</v>
      </c>
      <c r="C94" s="12" t="s">
        <v>153</v>
      </c>
      <c r="D94" s="13">
        <v>0.0</v>
      </c>
      <c r="K94" s="1"/>
      <c r="L94" s="1"/>
    </row>
    <row r="95">
      <c r="B95" s="11">
        <v>89.0</v>
      </c>
      <c r="C95" s="12" t="s">
        <v>154</v>
      </c>
      <c r="D95" s="13">
        <v>0.0</v>
      </c>
      <c r="K95" s="1"/>
      <c r="L95" s="1"/>
    </row>
    <row r="96">
      <c r="B96" s="11">
        <v>90.0</v>
      </c>
      <c r="C96" s="12" t="s">
        <v>155</v>
      </c>
      <c r="D96" s="13">
        <v>0.0</v>
      </c>
      <c r="K96" s="1"/>
      <c r="L96" s="1"/>
    </row>
    <row r="97">
      <c r="B97" s="11">
        <v>91.0</v>
      </c>
      <c r="C97" s="12" t="s">
        <v>156</v>
      </c>
      <c r="D97" s="13">
        <v>0.0</v>
      </c>
      <c r="K97" s="1"/>
      <c r="L97" s="1"/>
    </row>
    <row r="98">
      <c r="B98" s="11">
        <v>92.0</v>
      </c>
      <c r="C98" s="12" t="s">
        <v>157</v>
      </c>
      <c r="D98" s="13">
        <v>0.0</v>
      </c>
      <c r="K98" s="1"/>
      <c r="L98" s="1"/>
    </row>
    <row r="99">
      <c r="B99" s="11">
        <v>93.0</v>
      </c>
      <c r="C99" s="12" t="s">
        <v>158</v>
      </c>
      <c r="D99" s="13">
        <v>1.0</v>
      </c>
      <c r="K99" s="1"/>
      <c r="L99" s="1"/>
    </row>
    <row r="100">
      <c r="B100" s="11">
        <v>94.0</v>
      </c>
      <c r="C100" s="12" t="s">
        <v>159</v>
      </c>
      <c r="D100" s="13">
        <v>1.0</v>
      </c>
      <c r="K100" s="1"/>
      <c r="L100" s="1"/>
    </row>
    <row r="101">
      <c r="B101" s="11">
        <v>95.0</v>
      </c>
      <c r="C101" s="12" t="s">
        <v>160</v>
      </c>
      <c r="D101" s="13">
        <v>1.0</v>
      </c>
      <c r="K101" s="1"/>
      <c r="L101" s="1"/>
    </row>
    <row r="102">
      <c r="B102" s="11">
        <v>96.0</v>
      </c>
      <c r="C102" s="12" t="s">
        <v>161</v>
      </c>
      <c r="D102" s="13">
        <v>1.0</v>
      </c>
      <c r="K102" s="1"/>
      <c r="L102" s="1"/>
    </row>
    <row r="103">
      <c r="B103" s="11">
        <v>97.0</v>
      </c>
      <c r="C103" s="12" t="s">
        <v>162</v>
      </c>
      <c r="D103" s="13">
        <v>2.0</v>
      </c>
      <c r="K103" s="1"/>
      <c r="L103" s="1"/>
    </row>
    <row r="104">
      <c r="B104" s="11">
        <v>98.0</v>
      </c>
      <c r="C104" s="12" t="s">
        <v>163</v>
      </c>
      <c r="D104" s="13">
        <v>0.0</v>
      </c>
      <c r="K104" s="1"/>
      <c r="L104" s="1"/>
    </row>
    <row r="105">
      <c r="B105" s="11">
        <v>99.0</v>
      </c>
      <c r="C105" s="12" t="s">
        <v>164</v>
      </c>
      <c r="D105" s="13">
        <v>1.0</v>
      </c>
      <c r="K105" s="1"/>
      <c r="L105" s="1"/>
    </row>
    <row r="106">
      <c r="B106" s="19">
        <v>100.0</v>
      </c>
      <c r="C106" s="20" t="s">
        <v>165</v>
      </c>
      <c r="D106" s="21">
        <v>1.0</v>
      </c>
      <c r="K106" s="1"/>
      <c r="L106" s="1"/>
    </row>
    <row r="107">
      <c r="K107" s="1"/>
      <c r="L107" s="1"/>
    </row>
    <row r="108">
      <c r="K108" s="1"/>
      <c r="L108" s="1"/>
    </row>
    <row r="109">
      <c r="K109" s="1"/>
      <c r="L109" s="1"/>
    </row>
    <row r="110">
      <c r="K110" s="1"/>
      <c r="L110" s="1"/>
    </row>
    <row r="111">
      <c r="K111" s="1"/>
      <c r="L111" s="1"/>
    </row>
    <row r="112">
      <c r="K112" s="1"/>
      <c r="L112" s="1"/>
    </row>
    <row r="113">
      <c r="K113" s="1"/>
      <c r="L113" s="1"/>
    </row>
    <row r="114">
      <c r="K114" s="1"/>
      <c r="L114" s="1"/>
    </row>
    <row r="115">
      <c r="K115" s="1"/>
      <c r="L115" s="1"/>
    </row>
    <row r="116">
      <c r="K116" s="1"/>
      <c r="L116" s="1"/>
    </row>
    <row r="117">
      <c r="K117" s="1"/>
      <c r="L117" s="1"/>
    </row>
    <row r="118">
      <c r="K118" s="1"/>
      <c r="L118" s="1"/>
    </row>
    <row r="119">
      <c r="K119" s="1"/>
      <c r="L119" s="1"/>
    </row>
    <row r="120">
      <c r="K120" s="1"/>
      <c r="L120" s="1"/>
    </row>
    <row r="121">
      <c r="K121" s="1"/>
      <c r="L121" s="1"/>
    </row>
    <row r="122">
      <c r="K122" s="1"/>
      <c r="L122" s="1"/>
    </row>
    <row r="123">
      <c r="K123" s="1"/>
      <c r="L123" s="1"/>
    </row>
    <row r="124">
      <c r="K124" s="1"/>
      <c r="L124" s="1"/>
    </row>
    <row r="125">
      <c r="K125" s="1"/>
      <c r="L125" s="1"/>
    </row>
    <row r="126">
      <c r="K126" s="1"/>
      <c r="L126" s="1"/>
    </row>
    <row r="127">
      <c r="K127" s="1"/>
      <c r="L127" s="1"/>
    </row>
    <row r="128">
      <c r="K128" s="1"/>
      <c r="L128" s="1"/>
    </row>
    <row r="129">
      <c r="K129" s="1"/>
      <c r="L129" s="1"/>
    </row>
    <row r="130">
      <c r="K130" s="1"/>
      <c r="L130" s="1"/>
    </row>
    <row r="131">
      <c r="K131" s="1"/>
      <c r="L131" s="1"/>
    </row>
    <row r="132">
      <c r="K132" s="1"/>
      <c r="L132" s="1"/>
    </row>
    <row r="133">
      <c r="K133" s="1"/>
      <c r="L133" s="1"/>
    </row>
    <row r="134">
      <c r="K134" s="1"/>
      <c r="L134" s="1"/>
    </row>
    <row r="135">
      <c r="K135" s="1"/>
      <c r="L135" s="1"/>
    </row>
    <row r="136">
      <c r="K136" s="1"/>
      <c r="L136" s="1"/>
    </row>
    <row r="137">
      <c r="K137" s="1"/>
      <c r="L137" s="1"/>
    </row>
    <row r="138">
      <c r="K138" s="1"/>
      <c r="L138" s="1"/>
    </row>
    <row r="139">
      <c r="K139" s="1"/>
      <c r="L139" s="1"/>
    </row>
    <row r="140">
      <c r="K140" s="1"/>
      <c r="L140" s="1"/>
    </row>
    <row r="141">
      <c r="K141" s="1"/>
      <c r="L141" s="1"/>
    </row>
    <row r="142">
      <c r="K142" s="1"/>
      <c r="L142" s="1"/>
    </row>
    <row r="143">
      <c r="K143" s="1"/>
      <c r="L143" s="1"/>
    </row>
    <row r="144">
      <c r="K144" s="1"/>
      <c r="L144" s="1"/>
    </row>
    <row r="145">
      <c r="K145" s="1"/>
      <c r="L145" s="1"/>
    </row>
    <row r="146">
      <c r="K146" s="1"/>
      <c r="L146" s="1"/>
    </row>
    <row r="147">
      <c r="K147" s="1"/>
      <c r="L147" s="1"/>
    </row>
    <row r="148">
      <c r="K148" s="1"/>
      <c r="L148" s="1"/>
    </row>
    <row r="149">
      <c r="K149" s="1"/>
      <c r="L149" s="1"/>
    </row>
    <row r="150">
      <c r="K150" s="1"/>
      <c r="L150" s="1"/>
    </row>
    <row r="151">
      <c r="K151" s="1"/>
      <c r="L151" s="1"/>
    </row>
    <row r="152">
      <c r="K152" s="1"/>
      <c r="L152" s="1"/>
    </row>
    <row r="153">
      <c r="K153" s="1"/>
      <c r="L153" s="1"/>
    </row>
    <row r="154">
      <c r="K154" s="1"/>
      <c r="L154" s="1"/>
    </row>
    <row r="155">
      <c r="K155" s="1"/>
      <c r="L155" s="1"/>
    </row>
    <row r="156">
      <c r="K156" s="1"/>
      <c r="L156" s="1"/>
    </row>
    <row r="157">
      <c r="K157" s="1"/>
      <c r="L157" s="1"/>
    </row>
    <row r="158">
      <c r="K158" s="1"/>
      <c r="L158" s="1"/>
    </row>
    <row r="159">
      <c r="K159" s="1"/>
      <c r="L159" s="1"/>
    </row>
    <row r="160">
      <c r="K160" s="1"/>
      <c r="L160" s="1"/>
    </row>
    <row r="161">
      <c r="K161" s="1"/>
      <c r="L161" s="1"/>
    </row>
    <row r="162">
      <c r="K162" s="1"/>
      <c r="L162" s="1"/>
    </row>
    <row r="163">
      <c r="K163" s="1"/>
      <c r="L163" s="1"/>
    </row>
    <row r="164">
      <c r="K164" s="1"/>
      <c r="L164" s="1"/>
    </row>
    <row r="165">
      <c r="K165" s="1"/>
      <c r="L165" s="1"/>
    </row>
    <row r="166">
      <c r="K166" s="1"/>
      <c r="L166" s="1"/>
    </row>
    <row r="167">
      <c r="K167" s="1"/>
      <c r="L167" s="1"/>
    </row>
    <row r="168">
      <c r="K168" s="1"/>
      <c r="L168" s="1"/>
    </row>
    <row r="169">
      <c r="K169" s="1"/>
      <c r="L169" s="1"/>
    </row>
    <row r="170">
      <c r="K170" s="1"/>
      <c r="L170" s="1"/>
    </row>
    <row r="171">
      <c r="K171" s="1"/>
      <c r="L171" s="1"/>
    </row>
    <row r="172">
      <c r="K172" s="1"/>
      <c r="L172" s="1"/>
    </row>
    <row r="173">
      <c r="K173" s="1"/>
      <c r="L173" s="1"/>
    </row>
    <row r="174">
      <c r="K174" s="1"/>
      <c r="L174" s="1"/>
    </row>
    <row r="175">
      <c r="K175" s="1"/>
      <c r="L175" s="1"/>
    </row>
    <row r="176">
      <c r="K176" s="1"/>
      <c r="L176" s="1"/>
    </row>
    <row r="177">
      <c r="K177" s="1"/>
      <c r="L177" s="1"/>
    </row>
    <row r="178">
      <c r="K178" s="1"/>
      <c r="L178" s="1"/>
    </row>
    <row r="179">
      <c r="K179" s="1"/>
      <c r="L179" s="1"/>
    </row>
    <row r="180">
      <c r="K180" s="1"/>
      <c r="L180" s="1"/>
    </row>
    <row r="181">
      <c r="K181" s="1"/>
      <c r="L181" s="1"/>
    </row>
    <row r="182">
      <c r="K182" s="1"/>
      <c r="L182" s="1"/>
    </row>
    <row r="183">
      <c r="K183" s="1"/>
      <c r="L183" s="1"/>
    </row>
    <row r="184">
      <c r="K184" s="1"/>
      <c r="L184" s="1"/>
    </row>
    <row r="185">
      <c r="K185" s="1"/>
      <c r="L185" s="1"/>
    </row>
    <row r="186">
      <c r="K186" s="1"/>
      <c r="L186" s="1"/>
    </row>
    <row r="187">
      <c r="K187" s="1"/>
      <c r="L187" s="1"/>
    </row>
    <row r="188">
      <c r="K188" s="1"/>
      <c r="L188" s="1"/>
    </row>
    <row r="189">
      <c r="K189" s="1"/>
      <c r="L189" s="1"/>
    </row>
    <row r="190">
      <c r="K190" s="1"/>
      <c r="L190" s="1"/>
    </row>
    <row r="191">
      <c r="K191" s="1"/>
      <c r="L191" s="1"/>
    </row>
    <row r="192">
      <c r="K192" s="1"/>
      <c r="L192" s="1"/>
    </row>
    <row r="193">
      <c r="K193" s="1"/>
      <c r="L193" s="1"/>
    </row>
    <row r="194">
      <c r="K194" s="1"/>
      <c r="L194" s="1"/>
    </row>
    <row r="195">
      <c r="K195" s="1"/>
      <c r="L195" s="1"/>
    </row>
    <row r="196">
      <c r="K196" s="1"/>
      <c r="L196" s="1"/>
    </row>
    <row r="197">
      <c r="K197" s="1"/>
      <c r="L197" s="1"/>
    </row>
    <row r="198">
      <c r="K198" s="1"/>
      <c r="L198" s="1"/>
    </row>
    <row r="199">
      <c r="K199" s="1"/>
      <c r="L199" s="1"/>
    </row>
    <row r="200">
      <c r="K200" s="1"/>
      <c r="L200" s="1"/>
    </row>
    <row r="201">
      <c r="K201" s="1"/>
      <c r="L201" s="1"/>
    </row>
    <row r="202">
      <c r="K202" s="1"/>
      <c r="L202" s="1"/>
    </row>
    <row r="203">
      <c r="K203" s="1"/>
      <c r="L203" s="1"/>
    </row>
    <row r="204">
      <c r="K204" s="1"/>
      <c r="L204" s="1"/>
    </row>
    <row r="205">
      <c r="K205" s="1"/>
      <c r="L205" s="1"/>
    </row>
    <row r="206">
      <c r="K206" s="1"/>
      <c r="L206" s="1"/>
    </row>
    <row r="207">
      <c r="K207" s="1"/>
      <c r="L207" s="1"/>
    </row>
    <row r="208">
      <c r="K208" s="1"/>
      <c r="L208" s="1"/>
    </row>
    <row r="209">
      <c r="K209" s="1"/>
      <c r="L209" s="1"/>
    </row>
    <row r="210">
      <c r="K210" s="1"/>
      <c r="L210" s="1"/>
    </row>
    <row r="211">
      <c r="K211" s="1"/>
      <c r="L211" s="1"/>
    </row>
    <row r="212">
      <c r="K212" s="1"/>
      <c r="L212" s="1"/>
    </row>
    <row r="213">
      <c r="K213" s="1"/>
      <c r="L213" s="1"/>
    </row>
    <row r="214">
      <c r="K214" s="1"/>
      <c r="L214" s="1"/>
    </row>
    <row r="215">
      <c r="K215" s="1"/>
      <c r="L215" s="1"/>
    </row>
    <row r="216">
      <c r="K216" s="1"/>
      <c r="L216" s="1"/>
    </row>
    <row r="217">
      <c r="K217" s="1"/>
      <c r="L217" s="1"/>
    </row>
    <row r="218">
      <c r="K218" s="1"/>
      <c r="L218" s="1"/>
    </row>
    <row r="219">
      <c r="K219" s="1"/>
      <c r="L219" s="1"/>
    </row>
    <row r="220">
      <c r="K220" s="1"/>
      <c r="L220" s="1"/>
    </row>
    <row r="221">
      <c r="K221" s="1"/>
      <c r="L221" s="1"/>
    </row>
    <row r="222">
      <c r="K222" s="1"/>
      <c r="L222" s="1"/>
    </row>
    <row r="223">
      <c r="K223" s="1"/>
      <c r="L223" s="1"/>
    </row>
    <row r="224">
      <c r="K224" s="1"/>
      <c r="L224" s="1"/>
    </row>
    <row r="225">
      <c r="K225" s="1"/>
      <c r="L225" s="1"/>
    </row>
    <row r="226">
      <c r="K226" s="1"/>
      <c r="L226" s="1"/>
    </row>
    <row r="227">
      <c r="K227" s="1"/>
      <c r="L227" s="1"/>
    </row>
    <row r="228">
      <c r="K228" s="1"/>
      <c r="L228" s="1"/>
    </row>
    <row r="229">
      <c r="K229" s="1"/>
      <c r="L229" s="1"/>
    </row>
    <row r="230">
      <c r="K230" s="1"/>
      <c r="L230" s="1"/>
    </row>
    <row r="231">
      <c r="K231" s="1"/>
      <c r="L231" s="1"/>
    </row>
    <row r="232">
      <c r="K232" s="1"/>
      <c r="L232" s="1"/>
    </row>
    <row r="233">
      <c r="K233" s="1"/>
      <c r="L233" s="1"/>
    </row>
    <row r="234">
      <c r="K234" s="1"/>
      <c r="L234" s="1"/>
    </row>
    <row r="235">
      <c r="K235" s="1"/>
      <c r="L235" s="1"/>
    </row>
    <row r="236">
      <c r="K236" s="1"/>
      <c r="L236" s="1"/>
    </row>
    <row r="237">
      <c r="K237" s="1"/>
      <c r="L237" s="1"/>
    </row>
    <row r="238">
      <c r="K238" s="1"/>
      <c r="L238" s="1"/>
    </row>
    <row r="239">
      <c r="K239" s="1"/>
      <c r="L239" s="1"/>
    </row>
    <row r="240">
      <c r="K240" s="1"/>
      <c r="L240" s="1"/>
    </row>
    <row r="241">
      <c r="K241" s="1"/>
      <c r="L241" s="1"/>
    </row>
    <row r="242">
      <c r="K242" s="1"/>
      <c r="L242" s="1"/>
    </row>
    <row r="243">
      <c r="K243" s="1"/>
      <c r="L243" s="1"/>
    </row>
    <row r="244">
      <c r="K244" s="1"/>
      <c r="L244" s="1"/>
    </row>
    <row r="245">
      <c r="K245" s="1"/>
      <c r="L245" s="1"/>
    </row>
    <row r="246">
      <c r="K246" s="1"/>
      <c r="L246" s="1"/>
    </row>
    <row r="247">
      <c r="K247" s="1"/>
      <c r="L247" s="1"/>
    </row>
    <row r="248">
      <c r="K248" s="1"/>
      <c r="L248" s="1"/>
    </row>
    <row r="249">
      <c r="K249" s="1"/>
      <c r="L249" s="1"/>
    </row>
    <row r="250">
      <c r="K250" s="1"/>
      <c r="L250" s="1"/>
    </row>
    <row r="251">
      <c r="K251" s="1"/>
      <c r="L251" s="1"/>
    </row>
    <row r="252">
      <c r="K252" s="1"/>
      <c r="L252" s="1"/>
    </row>
    <row r="253">
      <c r="K253" s="1"/>
      <c r="L253" s="1"/>
    </row>
    <row r="254">
      <c r="K254" s="1"/>
      <c r="L254" s="1"/>
    </row>
    <row r="255">
      <c r="K255" s="1"/>
      <c r="L255" s="1"/>
    </row>
    <row r="256">
      <c r="K256" s="1"/>
      <c r="L256" s="1"/>
    </row>
    <row r="257">
      <c r="K257" s="1"/>
      <c r="L257" s="1"/>
    </row>
    <row r="258">
      <c r="K258" s="1"/>
      <c r="L258" s="1"/>
    </row>
    <row r="259">
      <c r="K259" s="1"/>
      <c r="L259" s="1"/>
    </row>
    <row r="260">
      <c r="K260" s="1"/>
      <c r="L260" s="1"/>
    </row>
    <row r="261">
      <c r="K261" s="1"/>
      <c r="L261" s="1"/>
    </row>
    <row r="262">
      <c r="K262" s="1"/>
      <c r="L262" s="1"/>
    </row>
    <row r="263">
      <c r="K263" s="1"/>
      <c r="L263" s="1"/>
    </row>
    <row r="264">
      <c r="K264" s="1"/>
      <c r="L264" s="1"/>
    </row>
    <row r="265">
      <c r="K265" s="1"/>
      <c r="L265" s="1"/>
    </row>
    <row r="266">
      <c r="K266" s="1"/>
      <c r="L266" s="1"/>
    </row>
    <row r="267">
      <c r="K267" s="1"/>
      <c r="L267" s="1"/>
    </row>
    <row r="268">
      <c r="K268" s="1"/>
      <c r="L268" s="1"/>
    </row>
    <row r="269">
      <c r="K269" s="1"/>
      <c r="L269" s="1"/>
    </row>
    <row r="270">
      <c r="K270" s="1"/>
      <c r="L270" s="1"/>
    </row>
    <row r="271">
      <c r="K271" s="1"/>
      <c r="L271" s="1"/>
    </row>
    <row r="272">
      <c r="K272" s="1"/>
      <c r="L272" s="1"/>
    </row>
    <row r="273">
      <c r="K273" s="1"/>
      <c r="L273" s="1"/>
    </row>
    <row r="274">
      <c r="K274" s="1"/>
      <c r="L274" s="1"/>
    </row>
    <row r="275">
      <c r="K275" s="1"/>
      <c r="L275" s="1"/>
    </row>
    <row r="276">
      <c r="K276" s="1"/>
      <c r="L276" s="1"/>
    </row>
    <row r="277">
      <c r="K277" s="1"/>
      <c r="L277" s="1"/>
    </row>
    <row r="278">
      <c r="K278" s="1"/>
      <c r="L278" s="1"/>
    </row>
    <row r="279">
      <c r="K279" s="1"/>
      <c r="L279" s="1"/>
    </row>
    <row r="280">
      <c r="K280" s="1"/>
      <c r="L280" s="1"/>
    </row>
    <row r="281">
      <c r="K281" s="1"/>
      <c r="L281" s="1"/>
    </row>
    <row r="282">
      <c r="K282" s="1"/>
      <c r="L282" s="1"/>
    </row>
    <row r="283">
      <c r="K283" s="1"/>
      <c r="L283" s="1"/>
    </row>
    <row r="284">
      <c r="K284" s="1"/>
      <c r="L284" s="1"/>
    </row>
    <row r="285">
      <c r="K285" s="1"/>
      <c r="L285" s="1"/>
    </row>
    <row r="286">
      <c r="K286" s="1"/>
      <c r="L286" s="1"/>
    </row>
    <row r="287">
      <c r="K287" s="1"/>
      <c r="L287" s="1"/>
    </row>
    <row r="288">
      <c r="K288" s="1"/>
      <c r="L288" s="1"/>
    </row>
    <row r="289">
      <c r="K289" s="1"/>
      <c r="L289" s="1"/>
    </row>
    <row r="290">
      <c r="K290" s="1"/>
      <c r="L290" s="1"/>
    </row>
    <row r="291">
      <c r="K291" s="1"/>
      <c r="L291" s="1"/>
    </row>
    <row r="292">
      <c r="K292" s="1"/>
      <c r="L292" s="1"/>
    </row>
    <row r="293">
      <c r="K293" s="1"/>
      <c r="L293" s="1"/>
    </row>
    <row r="294">
      <c r="K294" s="1"/>
      <c r="L294" s="1"/>
    </row>
    <row r="295">
      <c r="K295" s="1"/>
      <c r="L295" s="1"/>
    </row>
    <row r="296">
      <c r="K296" s="1"/>
      <c r="L296" s="1"/>
    </row>
    <row r="297">
      <c r="K297" s="1"/>
      <c r="L297" s="1"/>
    </row>
    <row r="298">
      <c r="K298" s="1"/>
      <c r="L298" s="1"/>
    </row>
    <row r="299">
      <c r="K299" s="1"/>
      <c r="L299" s="1"/>
    </row>
    <row r="300">
      <c r="K300" s="1"/>
      <c r="L300" s="1"/>
    </row>
    <row r="301">
      <c r="K301" s="1"/>
      <c r="L301" s="1"/>
    </row>
    <row r="302">
      <c r="K302" s="1"/>
      <c r="L302" s="1"/>
    </row>
    <row r="303">
      <c r="K303" s="1"/>
      <c r="L303" s="1"/>
    </row>
    <row r="304">
      <c r="K304" s="1"/>
      <c r="L304" s="1"/>
    </row>
    <row r="305">
      <c r="K305" s="1"/>
      <c r="L305" s="1"/>
    </row>
    <row r="306">
      <c r="K306" s="1"/>
      <c r="L306" s="1"/>
    </row>
    <row r="307">
      <c r="K307" s="1"/>
      <c r="L307" s="1"/>
    </row>
    <row r="308">
      <c r="K308" s="1"/>
      <c r="L308" s="1"/>
    </row>
    <row r="309">
      <c r="K309" s="1"/>
      <c r="L309" s="1"/>
    </row>
    <row r="310">
      <c r="K310" s="1"/>
      <c r="L310" s="1"/>
    </row>
    <row r="311">
      <c r="K311" s="1"/>
      <c r="L311" s="1"/>
    </row>
    <row r="312">
      <c r="K312" s="1"/>
      <c r="L312" s="1"/>
    </row>
    <row r="313">
      <c r="K313" s="1"/>
      <c r="L313" s="1"/>
    </row>
    <row r="314">
      <c r="K314" s="1"/>
      <c r="L314" s="1"/>
    </row>
    <row r="315">
      <c r="K315" s="1"/>
      <c r="L315" s="1"/>
    </row>
    <row r="316">
      <c r="K316" s="1"/>
      <c r="L316" s="1"/>
    </row>
    <row r="317">
      <c r="K317" s="1"/>
      <c r="L317" s="1"/>
    </row>
    <row r="318">
      <c r="K318" s="1"/>
      <c r="L318" s="1"/>
    </row>
    <row r="319">
      <c r="K319" s="1"/>
      <c r="L319" s="1"/>
    </row>
    <row r="320">
      <c r="K320" s="1"/>
      <c r="L320" s="1"/>
    </row>
    <row r="321">
      <c r="K321" s="1"/>
      <c r="L321" s="1"/>
    </row>
    <row r="322">
      <c r="K322" s="1"/>
      <c r="L322" s="1"/>
    </row>
    <row r="323">
      <c r="K323" s="1"/>
      <c r="L323" s="1"/>
    </row>
    <row r="324">
      <c r="K324" s="1"/>
      <c r="L324" s="1"/>
    </row>
    <row r="325">
      <c r="K325" s="1"/>
      <c r="L325" s="1"/>
    </row>
    <row r="326">
      <c r="K326" s="1"/>
      <c r="L326" s="1"/>
    </row>
    <row r="327">
      <c r="K327" s="1"/>
      <c r="L327" s="1"/>
    </row>
    <row r="328">
      <c r="K328" s="1"/>
      <c r="L328" s="1"/>
    </row>
    <row r="329">
      <c r="K329" s="1"/>
      <c r="L329" s="1"/>
    </row>
    <row r="330">
      <c r="K330" s="1"/>
      <c r="L330" s="1"/>
    </row>
    <row r="331">
      <c r="K331" s="1"/>
      <c r="L331" s="1"/>
    </row>
    <row r="332">
      <c r="K332" s="1"/>
      <c r="L332" s="1"/>
    </row>
    <row r="333">
      <c r="K333" s="1"/>
      <c r="L333" s="1"/>
    </row>
    <row r="334">
      <c r="K334" s="1"/>
      <c r="L334" s="1"/>
    </row>
    <row r="335">
      <c r="K335" s="1"/>
      <c r="L335" s="1"/>
    </row>
    <row r="336">
      <c r="K336" s="1"/>
      <c r="L336" s="1"/>
    </row>
    <row r="337">
      <c r="K337" s="1"/>
      <c r="L337" s="1"/>
    </row>
    <row r="338">
      <c r="K338" s="1"/>
      <c r="L338" s="1"/>
    </row>
    <row r="339">
      <c r="K339" s="1"/>
      <c r="L339" s="1"/>
    </row>
    <row r="340">
      <c r="K340" s="1"/>
      <c r="L340" s="1"/>
    </row>
    <row r="341">
      <c r="K341" s="1"/>
      <c r="L341" s="1"/>
    </row>
    <row r="342">
      <c r="K342" s="1"/>
      <c r="L342" s="1"/>
    </row>
    <row r="343">
      <c r="K343" s="1"/>
      <c r="L343" s="1"/>
    </row>
    <row r="344">
      <c r="K344" s="1"/>
      <c r="L344" s="1"/>
    </row>
    <row r="345">
      <c r="K345" s="1"/>
      <c r="L345" s="1"/>
    </row>
    <row r="346">
      <c r="K346" s="1"/>
      <c r="L346" s="1"/>
    </row>
    <row r="347">
      <c r="K347" s="1"/>
      <c r="L347" s="1"/>
    </row>
    <row r="348">
      <c r="K348" s="1"/>
      <c r="L348" s="1"/>
    </row>
    <row r="349">
      <c r="K349" s="1"/>
      <c r="L349" s="1"/>
    </row>
    <row r="350">
      <c r="K350" s="1"/>
      <c r="L350" s="1"/>
    </row>
    <row r="351">
      <c r="K351" s="1"/>
      <c r="L351" s="1"/>
    </row>
    <row r="352">
      <c r="K352" s="1"/>
      <c r="L352" s="1"/>
    </row>
    <row r="353">
      <c r="K353" s="1"/>
      <c r="L353" s="1"/>
    </row>
    <row r="354">
      <c r="K354" s="1"/>
      <c r="L354" s="1"/>
    </row>
    <row r="355">
      <c r="K355" s="1"/>
      <c r="L355" s="1"/>
    </row>
    <row r="356">
      <c r="K356" s="1"/>
      <c r="L356" s="1"/>
    </row>
    <row r="357">
      <c r="K357" s="1"/>
      <c r="L357" s="1"/>
    </row>
    <row r="358">
      <c r="K358" s="1"/>
      <c r="L358" s="1"/>
    </row>
    <row r="359">
      <c r="K359" s="1"/>
      <c r="L359" s="1"/>
    </row>
    <row r="360">
      <c r="K360" s="1"/>
      <c r="L360" s="1"/>
    </row>
    <row r="361">
      <c r="K361" s="1"/>
      <c r="L361" s="1"/>
    </row>
    <row r="362">
      <c r="K362" s="1"/>
      <c r="L362" s="1"/>
    </row>
    <row r="363">
      <c r="K363" s="1"/>
      <c r="L363" s="1"/>
    </row>
    <row r="364">
      <c r="K364" s="1"/>
      <c r="L364" s="1"/>
    </row>
    <row r="365">
      <c r="K365" s="1"/>
      <c r="L365" s="1"/>
    </row>
    <row r="366">
      <c r="K366" s="1"/>
      <c r="L366" s="1"/>
    </row>
    <row r="367">
      <c r="K367" s="1"/>
      <c r="L367" s="1"/>
    </row>
    <row r="368">
      <c r="K368" s="1"/>
      <c r="L368" s="1"/>
    </row>
    <row r="369">
      <c r="K369" s="1"/>
      <c r="L369" s="1"/>
    </row>
    <row r="370">
      <c r="K370" s="1"/>
      <c r="L370" s="1"/>
    </row>
    <row r="371">
      <c r="K371" s="1"/>
      <c r="L371" s="1"/>
    </row>
    <row r="372">
      <c r="K372" s="1"/>
      <c r="L372" s="1"/>
    </row>
    <row r="373">
      <c r="K373" s="1"/>
      <c r="L373" s="1"/>
    </row>
    <row r="374">
      <c r="K374" s="1"/>
      <c r="L374" s="1"/>
    </row>
    <row r="375">
      <c r="K375" s="1"/>
      <c r="L375" s="1"/>
    </row>
    <row r="376">
      <c r="K376" s="1"/>
      <c r="L376" s="1"/>
    </row>
    <row r="377">
      <c r="K377" s="1"/>
      <c r="L377" s="1"/>
    </row>
    <row r="378">
      <c r="K378" s="1"/>
      <c r="L378" s="1"/>
    </row>
    <row r="379">
      <c r="K379" s="1"/>
      <c r="L379" s="1"/>
    </row>
    <row r="380">
      <c r="K380" s="1"/>
      <c r="L380" s="1"/>
    </row>
    <row r="381">
      <c r="K381" s="1"/>
      <c r="L381" s="1"/>
    </row>
    <row r="382">
      <c r="K382" s="1"/>
      <c r="L382" s="1"/>
    </row>
    <row r="383">
      <c r="K383" s="1"/>
      <c r="L383" s="1"/>
    </row>
    <row r="384">
      <c r="K384" s="1"/>
      <c r="L384" s="1"/>
    </row>
    <row r="385">
      <c r="K385" s="1"/>
      <c r="L385" s="1"/>
    </row>
    <row r="386">
      <c r="K386" s="1"/>
      <c r="L386" s="1"/>
    </row>
    <row r="387">
      <c r="K387" s="1"/>
      <c r="L387" s="1"/>
    </row>
    <row r="388">
      <c r="K388" s="1"/>
      <c r="L388" s="1"/>
    </row>
    <row r="389">
      <c r="K389" s="1"/>
      <c r="L389" s="1"/>
    </row>
    <row r="390">
      <c r="K390" s="1"/>
      <c r="L390" s="1"/>
    </row>
    <row r="391">
      <c r="K391" s="1"/>
      <c r="L391" s="1"/>
    </row>
    <row r="392">
      <c r="K392" s="1"/>
      <c r="L392" s="1"/>
    </row>
    <row r="393">
      <c r="K393" s="1"/>
      <c r="L393" s="1"/>
    </row>
    <row r="394">
      <c r="K394" s="1"/>
      <c r="L394" s="1"/>
    </row>
    <row r="395">
      <c r="K395" s="1"/>
      <c r="L395" s="1"/>
    </row>
    <row r="396">
      <c r="K396" s="1"/>
      <c r="L396" s="1"/>
    </row>
    <row r="397">
      <c r="K397" s="1"/>
      <c r="L397" s="1"/>
    </row>
    <row r="398">
      <c r="K398" s="1"/>
      <c r="L398" s="1"/>
    </row>
    <row r="399">
      <c r="K399" s="1"/>
      <c r="L399" s="1"/>
    </row>
    <row r="400">
      <c r="K400" s="1"/>
      <c r="L400" s="1"/>
    </row>
    <row r="401">
      <c r="K401" s="1"/>
      <c r="L401" s="1"/>
    </row>
    <row r="402">
      <c r="K402" s="1"/>
      <c r="L402" s="1"/>
    </row>
    <row r="403">
      <c r="K403" s="1"/>
      <c r="L403" s="1"/>
    </row>
    <row r="404">
      <c r="K404" s="1"/>
      <c r="L404" s="1"/>
    </row>
    <row r="405">
      <c r="K405" s="1"/>
      <c r="L405" s="1"/>
    </row>
    <row r="406">
      <c r="K406" s="1"/>
      <c r="L406" s="1"/>
    </row>
    <row r="407">
      <c r="K407" s="1"/>
      <c r="L407" s="1"/>
    </row>
    <row r="408">
      <c r="K408" s="1"/>
      <c r="L408" s="1"/>
    </row>
    <row r="409">
      <c r="K409" s="1"/>
      <c r="L409" s="1"/>
    </row>
    <row r="410">
      <c r="K410" s="1"/>
      <c r="L410" s="1"/>
    </row>
    <row r="411">
      <c r="K411" s="1"/>
      <c r="L411" s="1"/>
    </row>
    <row r="412">
      <c r="K412" s="1"/>
      <c r="L412" s="1"/>
    </row>
    <row r="413">
      <c r="K413" s="1"/>
      <c r="L413" s="1"/>
    </row>
    <row r="414">
      <c r="K414" s="1"/>
      <c r="L414" s="1"/>
    </row>
    <row r="415">
      <c r="K415" s="1"/>
      <c r="L415" s="1"/>
    </row>
    <row r="416">
      <c r="K416" s="1"/>
      <c r="L416" s="1"/>
    </row>
    <row r="417">
      <c r="K417" s="1"/>
      <c r="L417" s="1"/>
    </row>
    <row r="418">
      <c r="K418" s="1"/>
      <c r="L418" s="1"/>
    </row>
    <row r="419">
      <c r="K419" s="1"/>
      <c r="L419" s="1"/>
    </row>
    <row r="420">
      <c r="K420" s="1"/>
      <c r="L420" s="1"/>
    </row>
    <row r="421">
      <c r="K421" s="1"/>
      <c r="L421" s="1"/>
    </row>
    <row r="422">
      <c r="K422" s="1"/>
      <c r="L422" s="1"/>
    </row>
    <row r="423">
      <c r="K423" s="1"/>
      <c r="L423" s="1"/>
    </row>
    <row r="424">
      <c r="K424" s="1"/>
      <c r="L424" s="1"/>
    </row>
    <row r="425">
      <c r="K425" s="1"/>
      <c r="L425" s="1"/>
    </row>
    <row r="426">
      <c r="K426" s="1"/>
      <c r="L426" s="1"/>
    </row>
    <row r="427">
      <c r="K427" s="1"/>
      <c r="L427" s="1"/>
    </row>
    <row r="428">
      <c r="K428" s="1"/>
      <c r="L428" s="1"/>
    </row>
    <row r="429">
      <c r="K429" s="1"/>
      <c r="L429" s="1"/>
    </row>
    <row r="430">
      <c r="K430" s="1"/>
      <c r="L430" s="1"/>
    </row>
    <row r="431">
      <c r="K431" s="1"/>
      <c r="L431" s="1"/>
    </row>
    <row r="432">
      <c r="K432" s="1"/>
      <c r="L432" s="1"/>
    </row>
    <row r="433">
      <c r="K433" s="1"/>
      <c r="L433" s="1"/>
    </row>
    <row r="434">
      <c r="K434" s="1"/>
      <c r="L434" s="1"/>
    </row>
    <row r="435">
      <c r="K435" s="1"/>
      <c r="L435" s="1"/>
    </row>
    <row r="436">
      <c r="K436" s="1"/>
      <c r="L436" s="1"/>
    </row>
    <row r="437">
      <c r="K437" s="1"/>
      <c r="L437" s="1"/>
    </row>
    <row r="438">
      <c r="K438" s="1"/>
      <c r="L438" s="1"/>
    </row>
    <row r="439">
      <c r="K439" s="1"/>
      <c r="L439" s="1"/>
    </row>
    <row r="440">
      <c r="K440" s="1"/>
      <c r="L440" s="1"/>
    </row>
    <row r="441">
      <c r="K441" s="1"/>
      <c r="L441" s="1"/>
    </row>
    <row r="442">
      <c r="K442" s="1"/>
      <c r="L442" s="1"/>
    </row>
    <row r="443">
      <c r="K443" s="1"/>
      <c r="L443" s="1"/>
    </row>
    <row r="444">
      <c r="K444" s="1"/>
      <c r="L444" s="1"/>
    </row>
    <row r="445">
      <c r="K445" s="1"/>
      <c r="L445" s="1"/>
    </row>
    <row r="446">
      <c r="K446" s="1"/>
      <c r="L446" s="1"/>
    </row>
    <row r="447">
      <c r="K447" s="1"/>
      <c r="L447" s="1"/>
    </row>
    <row r="448">
      <c r="K448" s="1"/>
      <c r="L448" s="1"/>
    </row>
    <row r="449">
      <c r="K449" s="1"/>
      <c r="L449" s="1"/>
    </row>
    <row r="450">
      <c r="K450" s="1"/>
      <c r="L450" s="1"/>
    </row>
    <row r="451">
      <c r="K451" s="1"/>
      <c r="L451" s="1"/>
    </row>
    <row r="452">
      <c r="K452" s="1"/>
      <c r="L452" s="1"/>
    </row>
    <row r="453">
      <c r="K453" s="1"/>
      <c r="L453" s="1"/>
    </row>
    <row r="454">
      <c r="K454" s="1"/>
      <c r="L454" s="1"/>
    </row>
    <row r="455">
      <c r="K455" s="1"/>
      <c r="L455" s="1"/>
    </row>
    <row r="456">
      <c r="K456" s="1"/>
      <c r="L456" s="1"/>
    </row>
    <row r="457">
      <c r="K457" s="1"/>
      <c r="L457" s="1"/>
    </row>
    <row r="458">
      <c r="K458" s="1"/>
      <c r="L458" s="1"/>
    </row>
    <row r="459">
      <c r="K459" s="1"/>
      <c r="L459" s="1"/>
    </row>
    <row r="460">
      <c r="K460" s="1"/>
      <c r="L460" s="1"/>
    </row>
    <row r="461">
      <c r="K461" s="1"/>
      <c r="L461" s="1"/>
    </row>
    <row r="462">
      <c r="K462" s="1"/>
      <c r="L462" s="1"/>
    </row>
    <row r="463">
      <c r="K463" s="1"/>
      <c r="L463" s="1"/>
    </row>
    <row r="464">
      <c r="K464" s="1"/>
      <c r="L464" s="1"/>
    </row>
    <row r="465">
      <c r="K465" s="1"/>
      <c r="L465" s="1"/>
    </row>
    <row r="466">
      <c r="K466" s="1"/>
      <c r="L466" s="1"/>
    </row>
    <row r="467">
      <c r="K467" s="1"/>
      <c r="L467" s="1"/>
    </row>
    <row r="468">
      <c r="K468" s="1"/>
      <c r="L468" s="1"/>
    </row>
    <row r="469">
      <c r="K469" s="1"/>
      <c r="L469" s="1"/>
    </row>
    <row r="470">
      <c r="K470" s="1"/>
      <c r="L470" s="1"/>
    </row>
    <row r="471">
      <c r="K471" s="1"/>
      <c r="L471" s="1"/>
    </row>
    <row r="472">
      <c r="K472" s="1"/>
      <c r="L472" s="1"/>
    </row>
    <row r="473">
      <c r="K473" s="1"/>
      <c r="L473" s="1"/>
    </row>
    <row r="474">
      <c r="K474" s="1"/>
      <c r="L474" s="1"/>
    </row>
    <row r="475">
      <c r="K475" s="1"/>
      <c r="L475" s="1"/>
    </row>
    <row r="476">
      <c r="K476" s="1"/>
      <c r="L476" s="1"/>
    </row>
    <row r="477">
      <c r="K477" s="1"/>
      <c r="L477" s="1"/>
    </row>
    <row r="478">
      <c r="K478" s="1"/>
      <c r="L478" s="1"/>
    </row>
    <row r="479">
      <c r="K479" s="1"/>
      <c r="L479" s="1"/>
    </row>
    <row r="480">
      <c r="K480" s="1"/>
      <c r="L480" s="1"/>
    </row>
    <row r="481">
      <c r="K481" s="1"/>
      <c r="L481" s="1"/>
    </row>
    <row r="482">
      <c r="K482" s="1"/>
      <c r="L482" s="1"/>
    </row>
    <row r="483">
      <c r="K483" s="1"/>
      <c r="L483" s="1"/>
    </row>
    <row r="484">
      <c r="K484" s="1"/>
      <c r="L484" s="1"/>
    </row>
    <row r="485">
      <c r="K485" s="1"/>
      <c r="L485" s="1"/>
    </row>
    <row r="486">
      <c r="K486" s="1"/>
      <c r="L486" s="1"/>
    </row>
    <row r="487">
      <c r="K487" s="1"/>
      <c r="L487" s="1"/>
    </row>
    <row r="488">
      <c r="K488" s="1"/>
      <c r="L488" s="1"/>
    </row>
    <row r="489">
      <c r="K489" s="1"/>
      <c r="L489" s="1"/>
    </row>
    <row r="490">
      <c r="K490" s="1"/>
      <c r="L490" s="1"/>
    </row>
    <row r="491">
      <c r="K491" s="1"/>
      <c r="L491" s="1"/>
    </row>
    <row r="492">
      <c r="K492" s="1"/>
      <c r="L492" s="1"/>
    </row>
    <row r="493">
      <c r="K493" s="1"/>
      <c r="L493" s="1"/>
    </row>
    <row r="494">
      <c r="K494" s="1"/>
      <c r="L494" s="1"/>
    </row>
    <row r="495">
      <c r="K495" s="1"/>
      <c r="L495" s="1"/>
    </row>
    <row r="496">
      <c r="K496" s="1"/>
      <c r="L496" s="1"/>
    </row>
    <row r="497">
      <c r="K497" s="1"/>
      <c r="L497" s="1"/>
    </row>
    <row r="498">
      <c r="K498" s="1"/>
      <c r="L498" s="1"/>
    </row>
    <row r="499">
      <c r="K499" s="1"/>
      <c r="L499" s="1"/>
    </row>
    <row r="500">
      <c r="K500" s="1"/>
      <c r="L500" s="1"/>
    </row>
    <row r="501">
      <c r="K501" s="1"/>
      <c r="L501" s="1"/>
    </row>
    <row r="502">
      <c r="K502" s="1"/>
      <c r="L502" s="1"/>
    </row>
    <row r="503">
      <c r="K503" s="1"/>
      <c r="L503" s="1"/>
    </row>
    <row r="504">
      <c r="K504" s="1"/>
      <c r="L504" s="1"/>
    </row>
    <row r="505">
      <c r="K505" s="1"/>
      <c r="L505" s="1"/>
    </row>
    <row r="506">
      <c r="K506" s="1"/>
      <c r="L506" s="1"/>
    </row>
    <row r="507">
      <c r="K507" s="1"/>
      <c r="L507" s="1"/>
    </row>
    <row r="508">
      <c r="K508" s="1"/>
      <c r="L508" s="1"/>
    </row>
    <row r="509">
      <c r="K509" s="1"/>
      <c r="L509" s="1"/>
    </row>
    <row r="510">
      <c r="K510" s="1"/>
      <c r="L510" s="1"/>
    </row>
    <row r="511">
      <c r="K511" s="1"/>
      <c r="L511" s="1"/>
    </row>
    <row r="512">
      <c r="K512" s="1"/>
      <c r="L512" s="1"/>
    </row>
    <row r="513">
      <c r="K513" s="1"/>
      <c r="L513" s="1"/>
    </row>
    <row r="514">
      <c r="K514" s="1"/>
      <c r="L514" s="1"/>
    </row>
    <row r="515">
      <c r="K515" s="1"/>
      <c r="L515" s="1"/>
    </row>
    <row r="516">
      <c r="K516" s="1"/>
      <c r="L516" s="1"/>
    </row>
    <row r="517">
      <c r="K517" s="1"/>
      <c r="L517" s="1"/>
    </row>
    <row r="518">
      <c r="K518" s="1"/>
      <c r="L518" s="1"/>
    </row>
    <row r="519">
      <c r="K519" s="1"/>
      <c r="L519" s="1"/>
    </row>
    <row r="520">
      <c r="K520" s="1"/>
      <c r="L520" s="1"/>
    </row>
    <row r="521">
      <c r="K521" s="1"/>
      <c r="L521" s="1"/>
    </row>
    <row r="522">
      <c r="K522" s="1"/>
      <c r="L522" s="1"/>
    </row>
    <row r="523">
      <c r="K523" s="1"/>
      <c r="L523" s="1"/>
    </row>
    <row r="524">
      <c r="K524" s="1"/>
      <c r="L524" s="1"/>
    </row>
    <row r="525">
      <c r="K525" s="1"/>
      <c r="L525" s="1"/>
    </row>
    <row r="526">
      <c r="K526" s="1"/>
      <c r="L526" s="1"/>
    </row>
    <row r="527">
      <c r="K527" s="1"/>
      <c r="L527" s="1"/>
    </row>
    <row r="528">
      <c r="K528" s="1"/>
      <c r="L528" s="1"/>
    </row>
    <row r="529">
      <c r="K529" s="1"/>
      <c r="L529" s="1"/>
    </row>
    <row r="530">
      <c r="K530" s="1"/>
      <c r="L530" s="1"/>
    </row>
    <row r="531">
      <c r="K531" s="1"/>
      <c r="L531" s="1"/>
    </row>
    <row r="532">
      <c r="K532" s="1"/>
      <c r="L532" s="1"/>
    </row>
    <row r="533">
      <c r="K533" s="1"/>
      <c r="L533" s="1"/>
    </row>
    <row r="534">
      <c r="K534" s="1"/>
      <c r="L534" s="1"/>
    </row>
    <row r="535">
      <c r="K535" s="1"/>
      <c r="L535" s="1"/>
    </row>
    <row r="536">
      <c r="K536" s="1"/>
      <c r="L536" s="1"/>
    </row>
    <row r="537">
      <c r="K537" s="1"/>
      <c r="L537" s="1"/>
    </row>
    <row r="538">
      <c r="K538" s="1"/>
      <c r="L538" s="1"/>
    </row>
    <row r="539">
      <c r="K539" s="1"/>
      <c r="L539" s="1"/>
    </row>
    <row r="540">
      <c r="K540" s="1"/>
      <c r="L540" s="1"/>
    </row>
    <row r="541">
      <c r="K541" s="1"/>
      <c r="L541" s="1"/>
    </row>
    <row r="542">
      <c r="K542" s="1"/>
      <c r="L542" s="1"/>
    </row>
    <row r="543">
      <c r="K543" s="1"/>
      <c r="L543" s="1"/>
    </row>
    <row r="544">
      <c r="K544" s="1"/>
      <c r="L544" s="1"/>
    </row>
    <row r="545">
      <c r="K545" s="1"/>
      <c r="L545" s="1"/>
    </row>
    <row r="546">
      <c r="K546" s="1"/>
      <c r="L546" s="1"/>
    </row>
    <row r="547">
      <c r="K547" s="1"/>
      <c r="L547" s="1"/>
    </row>
    <row r="548">
      <c r="K548" s="1"/>
      <c r="L548" s="1"/>
    </row>
    <row r="549">
      <c r="K549" s="1"/>
      <c r="L549" s="1"/>
    </row>
    <row r="550">
      <c r="K550" s="1"/>
      <c r="L550" s="1"/>
    </row>
    <row r="551">
      <c r="K551" s="1"/>
      <c r="L551" s="1"/>
    </row>
    <row r="552">
      <c r="K552" s="1"/>
      <c r="L552" s="1"/>
    </row>
    <row r="553">
      <c r="K553" s="1"/>
      <c r="L553" s="1"/>
    </row>
    <row r="554">
      <c r="K554" s="1"/>
      <c r="L554" s="1"/>
    </row>
    <row r="555">
      <c r="K555" s="1"/>
      <c r="L555" s="1"/>
    </row>
    <row r="556">
      <c r="K556" s="1"/>
      <c r="L556" s="1"/>
    </row>
    <row r="557">
      <c r="K557" s="1"/>
      <c r="L557" s="1"/>
    </row>
    <row r="558">
      <c r="K558" s="1"/>
      <c r="L558" s="1"/>
    </row>
    <row r="559">
      <c r="K559" s="1"/>
      <c r="L559" s="1"/>
    </row>
    <row r="560">
      <c r="K560" s="1"/>
      <c r="L560" s="1"/>
    </row>
    <row r="561">
      <c r="K561" s="1"/>
      <c r="L561" s="1"/>
    </row>
    <row r="562">
      <c r="K562" s="1"/>
      <c r="L562" s="1"/>
    </row>
    <row r="563">
      <c r="K563" s="1"/>
      <c r="L563" s="1"/>
    </row>
    <row r="564">
      <c r="K564" s="1"/>
      <c r="L564" s="1"/>
    </row>
    <row r="565">
      <c r="K565" s="1"/>
      <c r="L565" s="1"/>
    </row>
    <row r="566">
      <c r="K566" s="1"/>
      <c r="L566" s="1"/>
    </row>
    <row r="567">
      <c r="K567" s="1"/>
      <c r="L567" s="1"/>
    </row>
    <row r="568">
      <c r="K568" s="1"/>
      <c r="L568" s="1"/>
    </row>
    <row r="569">
      <c r="K569" s="1"/>
      <c r="L569" s="1"/>
    </row>
    <row r="570">
      <c r="K570" s="1"/>
      <c r="L570" s="1"/>
    </row>
    <row r="571">
      <c r="K571" s="1"/>
      <c r="L571" s="1"/>
    </row>
    <row r="572">
      <c r="K572" s="1"/>
      <c r="L572" s="1"/>
    </row>
    <row r="573">
      <c r="K573" s="1"/>
      <c r="L573" s="1"/>
    </row>
    <row r="574">
      <c r="K574" s="1"/>
      <c r="L574" s="1"/>
    </row>
    <row r="575">
      <c r="K575" s="1"/>
      <c r="L575" s="1"/>
    </row>
    <row r="576">
      <c r="K576" s="1"/>
      <c r="L576" s="1"/>
    </row>
    <row r="577">
      <c r="K577" s="1"/>
      <c r="L577" s="1"/>
    </row>
    <row r="578">
      <c r="K578" s="1"/>
      <c r="L578" s="1"/>
    </row>
    <row r="579">
      <c r="K579" s="1"/>
      <c r="L579" s="1"/>
    </row>
    <row r="580">
      <c r="K580" s="1"/>
      <c r="L580" s="1"/>
    </row>
    <row r="581">
      <c r="K581" s="1"/>
      <c r="L581" s="1"/>
    </row>
    <row r="582">
      <c r="K582" s="1"/>
      <c r="L582" s="1"/>
    </row>
    <row r="583">
      <c r="K583" s="1"/>
      <c r="L583" s="1"/>
    </row>
    <row r="584">
      <c r="K584" s="1"/>
      <c r="L584" s="1"/>
    </row>
    <row r="585">
      <c r="K585" s="1"/>
      <c r="L585" s="1"/>
    </row>
    <row r="586">
      <c r="K586" s="1"/>
      <c r="L586" s="1"/>
    </row>
    <row r="587">
      <c r="K587" s="1"/>
      <c r="L587" s="1"/>
    </row>
    <row r="588">
      <c r="K588" s="1"/>
      <c r="L588" s="1"/>
    </row>
    <row r="589">
      <c r="K589" s="1"/>
      <c r="L589" s="1"/>
    </row>
    <row r="590">
      <c r="K590" s="1"/>
      <c r="L590" s="1"/>
    </row>
    <row r="591">
      <c r="K591" s="1"/>
      <c r="L591" s="1"/>
    </row>
    <row r="592">
      <c r="K592" s="1"/>
      <c r="L592" s="1"/>
    </row>
    <row r="593">
      <c r="K593" s="1"/>
      <c r="L593" s="1"/>
    </row>
    <row r="594">
      <c r="K594" s="1"/>
      <c r="L594" s="1"/>
    </row>
    <row r="595">
      <c r="K595" s="1"/>
      <c r="L595" s="1"/>
    </row>
    <row r="596">
      <c r="K596" s="1"/>
      <c r="L596" s="1"/>
    </row>
    <row r="597">
      <c r="K597" s="1"/>
      <c r="L597" s="1"/>
    </row>
    <row r="598">
      <c r="K598" s="1"/>
      <c r="L598" s="1"/>
    </row>
    <row r="599">
      <c r="K599" s="1"/>
      <c r="L599" s="1"/>
    </row>
    <row r="600">
      <c r="K600" s="1"/>
      <c r="L600" s="1"/>
    </row>
    <row r="601">
      <c r="K601" s="1"/>
      <c r="L601" s="1"/>
    </row>
    <row r="602">
      <c r="K602" s="1"/>
      <c r="L602" s="1"/>
    </row>
    <row r="603">
      <c r="K603" s="1"/>
      <c r="L603" s="1"/>
    </row>
    <row r="604">
      <c r="K604" s="1"/>
      <c r="L604" s="1"/>
    </row>
    <row r="605">
      <c r="K605" s="1"/>
      <c r="L605" s="1"/>
    </row>
    <row r="606">
      <c r="K606" s="1"/>
      <c r="L606" s="1"/>
    </row>
    <row r="607">
      <c r="K607" s="1"/>
      <c r="L607" s="1"/>
    </row>
    <row r="608">
      <c r="K608" s="1"/>
      <c r="L608" s="1"/>
    </row>
    <row r="609">
      <c r="K609" s="1"/>
      <c r="L609" s="1"/>
    </row>
    <row r="610">
      <c r="K610" s="1"/>
      <c r="L610" s="1"/>
    </row>
    <row r="611">
      <c r="K611" s="1"/>
      <c r="L611" s="1"/>
    </row>
    <row r="612">
      <c r="K612" s="1"/>
      <c r="L612" s="1"/>
    </row>
    <row r="613">
      <c r="K613" s="1"/>
      <c r="L613" s="1"/>
    </row>
    <row r="614">
      <c r="K614" s="1"/>
      <c r="L614" s="1"/>
    </row>
    <row r="615">
      <c r="K615" s="1"/>
      <c r="L615" s="1"/>
    </row>
    <row r="616">
      <c r="K616" s="1"/>
      <c r="L616" s="1"/>
    </row>
    <row r="617">
      <c r="K617" s="1"/>
      <c r="L617" s="1"/>
    </row>
    <row r="618">
      <c r="K618" s="1"/>
      <c r="L618" s="1"/>
    </row>
    <row r="619">
      <c r="K619" s="1"/>
      <c r="L619" s="1"/>
    </row>
    <row r="620">
      <c r="K620" s="1"/>
      <c r="L620" s="1"/>
    </row>
    <row r="621">
      <c r="K621" s="1"/>
      <c r="L621" s="1"/>
    </row>
    <row r="622">
      <c r="K622" s="1"/>
      <c r="L622" s="1"/>
    </row>
    <row r="623">
      <c r="K623" s="1"/>
      <c r="L623" s="1"/>
    </row>
    <row r="624">
      <c r="K624" s="1"/>
      <c r="L624" s="1"/>
    </row>
    <row r="625">
      <c r="K625" s="1"/>
      <c r="L625" s="1"/>
    </row>
    <row r="626">
      <c r="K626" s="1"/>
      <c r="L626" s="1"/>
    </row>
    <row r="627">
      <c r="K627" s="1"/>
      <c r="L627" s="1"/>
    </row>
    <row r="628">
      <c r="K628" s="1"/>
      <c r="L628" s="1"/>
    </row>
    <row r="629">
      <c r="K629" s="1"/>
      <c r="L629" s="1"/>
    </row>
    <row r="630">
      <c r="K630" s="1"/>
      <c r="L630" s="1"/>
    </row>
    <row r="631">
      <c r="K631" s="1"/>
      <c r="L631" s="1"/>
    </row>
    <row r="632">
      <c r="K632" s="1"/>
      <c r="L632" s="1"/>
    </row>
    <row r="633">
      <c r="K633" s="1"/>
      <c r="L633" s="1"/>
    </row>
    <row r="634">
      <c r="K634" s="1"/>
      <c r="L634" s="1"/>
    </row>
    <row r="635">
      <c r="K635" s="1"/>
      <c r="L635" s="1"/>
    </row>
    <row r="636">
      <c r="K636" s="1"/>
      <c r="L636" s="1"/>
    </row>
    <row r="637">
      <c r="K637" s="1"/>
      <c r="L637" s="1"/>
    </row>
    <row r="638">
      <c r="K638" s="1"/>
      <c r="L638" s="1"/>
    </row>
    <row r="639">
      <c r="K639" s="1"/>
      <c r="L639" s="1"/>
    </row>
    <row r="640">
      <c r="K640" s="1"/>
      <c r="L640" s="1"/>
    </row>
    <row r="641">
      <c r="K641" s="1"/>
      <c r="L641" s="1"/>
    </row>
    <row r="642">
      <c r="K642" s="1"/>
      <c r="L642" s="1"/>
    </row>
    <row r="643">
      <c r="K643" s="1"/>
      <c r="L643" s="1"/>
    </row>
    <row r="644">
      <c r="K644" s="1"/>
      <c r="L644" s="1"/>
    </row>
    <row r="645">
      <c r="K645" s="1"/>
      <c r="L645" s="1"/>
    </row>
    <row r="646">
      <c r="K646" s="1"/>
      <c r="L646" s="1"/>
    </row>
    <row r="647">
      <c r="K647" s="1"/>
      <c r="L647" s="1"/>
    </row>
    <row r="648">
      <c r="K648" s="1"/>
      <c r="L648" s="1"/>
    </row>
    <row r="649">
      <c r="K649" s="1"/>
      <c r="L649" s="1"/>
    </row>
    <row r="650">
      <c r="K650" s="1"/>
      <c r="L650" s="1"/>
    </row>
    <row r="651">
      <c r="K651" s="1"/>
      <c r="L651" s="1"/>
    </row>
    <row r="652">
      <c r="K652" s="1"/>
      <c r="L652" s="1"/>
    </row>
    <row r="653">
      <c r="K653" s="1"/>
      <c r="L653" s="1"/>
    </row>
    <row r="654">
      <c r="K654" s="1"/>
      <c r="L654" s="1"/>
    </row>
    <row r="655">
      <c r="K655" s="1"/>
      <c r="L655" s="1"/>
    </row>
    <row r="656">
      <c r="K656" s="1"/>
      <c r="L656" s="1"/>
    </row>
    <row r="657">
      <c r="K657" s="1"/>
      <c r="L657" s="1"/>
    </row>
    <row r="658">
      <c r="K658" s="1"/>
      <c r="L658" s="1"/>
    </row>
    <row r="659">
      <c r="K659" s="1"/>
      <c r="L659" s="1"/>
    </row>
    <row r="660">
      <c r="K660" s="1"/>
      <c r="L660" s="1"/>
    </row>
    <row r="661">
      <c r="K661" s="1"/>
      <c r="L661" s="1"/>
    </row>
    <row r="662">
      <c r="K662" s="1"/>
      <c r="L662" s="1"/>
    </row>
    <row r="663">
      <c r="K663" s="1"/>
      <c r="L663" s="1"/>
    </row>
    <row r="664">
      <c r="K664" s="1"/>
      <c r="L664" s="1"/>
    </row>
    <row r="665">
      <c r="K665" s="1"/>
      <c r="L665" s="1"/>
    </row>
    <row r="666">
      <c r="K666" s="1"/>
      <c r="L666" s="1"/>
    </row>
    <row r="667">
      <c r="K667" s="1"/>
      <c r="L667" s="1"/>
    </row>
    <row r="668">
      <c r="K668" s="1"/>
      <c r="L668" s="1"/>
    </row>
    <row r="669">
      <c r="K669" s="1"/>
      <c r="L669" s="1"/>
    </row>
    <row r="670">
      <c r="K670" s="1"/>
      <c r="L670" s="1"/>
    </row>
    <row r="671">
      <c r="K671" s="1"/>
      <c r="L671" s="1"/>
    </row>
    <row r="672">
      <c r="K672" s="1"/>
      <c r="L672" s="1"/>
    </row>
    <row r="673">
      <c r="K673" s="1"/>
      <c r="L673" s="1"/>
    </row>
    <row r="674">
      <c r="K674" s="1"/>
      <c r="L674" s="1"/>
    </row>
    <row r="675">
      <c r="K675" s="1"/>
      <c r="L675" s="1"/>
    </row>
    <row r="676">
      <c r="K676" s="1"/>
      <c r="L676" s="1"/>
    </row>
    <row r="677">
      <c r="K677" s="1"/>
      <c r="L677" s="1"/>
    </row>
    <row r="678">
      <c r="K678" s="1"/>
      <c r="L678" s="1"/>
    </row>
    <row r="679">
      <c r="K679" s="1"/>
      <c r="L679" s="1"/>
    </row>
    <row r="680">
      <c r="K680" s="1"/>
      <c r="L680" s="1"/>
    </row>
    <row r="681">
      <c r="K681" s="1"/>
      <c r="L681" s="1"/>
    </row>
    <row r="682">
      <c r="K682" s="1"/>
      <c r="L682" s="1"/>
    </row>
    <row r="683">
      <c r="K683" s="1"/>
      <c r="L683" s="1"/>
    </row>
    <row r="684">
      <c r="K684" s="1"/>
      <c r="L684" s="1"/>
    </row>
    <row r="685">
      <c r="K685" s="1"/>
      <c r="L685" s="1"/>
    </row>
    <row r="686">
      <c r="K686" s="1"/>
      <c r="L686" s="1"/>
    </row>
    <row r="687">
      <c r="K687" s="1"/>
      <c r="L687" s="1"/>
    </row>
    <row r="688">
      <c r="K688" s="1"/>
      <c r="L688" s="1"/>
    </row>
    <row r="689">
      <c r="K689" s="1"/>
      <c r="L689" s="1"/>
    </row>
    <row r="690">
      <c r="K690" s="1"/>
      <c r="L690" s="1"/>
    </row>
    <row r="691">
      <c r="K691" s="1"/>
      <c r="L691" s="1"/>
    </row>
    <row r="692">
      <c r="K692" s="1"/>
      <c r="L692" s="1"/>
    </row>
    <row r="693">
      <c r="K693" s="1"/>
      <c r="L693" s="1"/>
    </row>
    <row r="694">
      <c r="K694" s="1"/>
      <c r="L694" s="1"/>
    </row>
    <row r="695">
      <c r="K695" s="1"/>
      <c r="L695" s="1"/>
    </row>
    <row r="696">
      <c r="K696" s="1"/>
      <c r="L696" s="1"/>
    </row>
    <row r="697">
      <c r="K697" s="1"/>
      <c r="L697" s="1"/>
    </row>
    <row r="698">
      <c r="K698" s="1"/>
      <c r="L698" s="1"/>
    </row>
    <row r="699">
      <c r="K699" s="1"/>
      <c r="L699" s="1"/>
    </row>
    <row r="700">
      <c r="K700" s="1"/>
      <c r="L700" s="1"/>
    </row>
    <row r="701">
      <c r="K701" s="1"/>
      <c r="L701" s="1"/>
    </row>
    <row r="702">
      <c r="K702" s="1"/>
      <c r="L702" s="1"/>
    </row>
    <row r="703">
      <c r="K703" s="1"/>
      <c r="L703" s="1"/>
    </row>
    <row r="704">
      <c r="K704" s="1"/>
      <c r="L704" s="1"/>
    </row>
    <row r="705">
      <c r="K705" s="1"/>
      <c r="L705" s="1"/>
    </row>
    <row r="706">
      <c r="K706" s="1"/>
      <c r="L706" s="1"/>
    </row>
    <row r="707">
      <c r="K707" s="1"/>
      <c r="L707" s="1"/>
    </row>
    <row r="708">
      <c r="K708" s="1"/>
      <c r="L708" s="1"/>
    </row>
    <row r="709">
      <c r="K709" s="1"/>
      <c r="L709" s="1"/>
    </row>
    <row r="710">
      <c r="K710" s="1"/>
      <c r="L710" s="1"/>
    </row>
    <row r="711">
      <c r="K711" s="1"/>
      <c r="L711" s="1"/>
    </row>
    <row r="712">
      <c r="K712" s="1"/>
      <c r="L712" s="1"/>
    </row>
    <row r="713">
      <c r="K713" s="1"/>
      <c r="L713" s="1"/>
    </row>
    <row r="714">
      <c r="K714" s="1"/>
      <c r="L714" s="1"/>
    </row>
    <row r="715">
      <c r="K715" s="1"/>
      <c r="L715" s="1"/>
    </row>
    <row r="716">
      <c r="K716" s="1"/>
      <c r="L716" s="1"/>
    </row>
    <row r="717">
      <c r="K717" s="1"/>
      <c r="L717" s="1"/>
    </row>
    <row r="718">
      <c r="K718" s="1"/>
      <c r="L718" s="1"/>
    </row>
    <row r="719">
      <c r="K719" s="1"/>
      <c r="L719" s="1"/>
    </row>
    <row r="720">
      <c r="K720" s="1"/>
      <c r="L720" s="1"/>
    </row>
    <row r="721">
      <c r="K721" s="1"/>
      <c r="L721" s="1"/>
    </row>
    <row r="722">
      <c r="K722" s="1"/>
      <c r="L722" s="1"/>
    </row>
    <row r="723">
      <c r="K723" s="1"/>
      <c r="L723" s="1"/>
    </row>
    <row r="724">
      <c r="K724" s="1"/>
      <c r="L724" s="1"/>
    </row>
    <row r="725">
      <c r="K725" s="1"/>
      <c r="L725" s="1"/>
    </row>
    <row r="726">
      <c r="K726" s="1"/>
      <c r="L726" s="1"/>
    </row>
    <row r="727">
      <c r="K727" s="1"/>
      <c r="L727" s="1"/>
    </row>
    <row r="728">
      <c r="K728" s="1"/>
      <c r="L728" s="1"/>
    </row>
    <row r="729">
      <c r="K729" s="1"/>
      <c r="L729" s="1"/>
    </row>
    <row r="730">
      <c r="K730" s="1"/>
      <c r="L730" s="1"/>
    </row>
    <row r="731">
      <c r="K731" s="1"/>
      <c r="L731" s="1"/>
    </row>
    <row r="732">
      <c r="K732" s="1"/>
      <c r="L732" s="1"/>
    </row>
    <row r="733">
      <c r="K733" s="1"/>
      <c r="L733" s="1"/>
    </row>
    <row r="734">
      <c r="K734" s="1"/>
      <c r="L734" s="1"/>
    </row>
    <row r="735">
      <c r="K735" s="1"/>
      <c r="L735" s="1"/>
    </row>
    <row r="736">
      <c r="K736" s="1"/>
      <c r="L736" s="1"/>
    </row>
    <row r="737">
      <c r="K737" s="1"/>
      <c r="L737" s="1"/>
    </row>
    <row r="738">
      <c r="K738" s="1"/>
      <c r="L738" s="1"/>
    </row>
    <row r="739">
      <c r="K739" s="1"/>
      <c r="L739" s="1"/>
    </row>
    <row r="740">
      <c r="K740" s="1"/>
      <c r="L740" s="1"/>
    </row>
    <row r="741">
      <c r="K741" s="1"/>
      <c r="L741" s="1"/>
    </row>
    <row r="742">
      <c r="K742" s="1"/>
      <c r="L742" s="1"/>
    </row>
    <row r="743">
      <c r="K743" s="1"/>
      <c r="L743" s="1"/>
    </row>
    <row r="744">
      <c r="K744" s="1"/>
      <c r="L744" s="1"/>
    </row>
    <row r="745">
      <c r="K745" s="1"/>
      <c r="L745" s="1"/>
    </row>
    <row r="746">
      <c r="K746" s="1"/>
      <c r="L746" s="1"/>
    </row>
    <row r="747">
      <c r="K747" s="1"/>
      <c r="L747" s="1"/>
    </row>
    <row r="748">
      <c r="K748" s="1"/>
      <c r="L748" s="1"/>
    </row>
    <row r="749">
      <c r="K749" s="1"/>
      <c r="L749" s="1"/>
    </row>
    <row r="750">
      <c r="K750" s="1"/>
      <c r="L750" s="1"/>
    </row>
    <row r="751">
      <c r="K751" s="1"/>
      <c r="L751" s="1"/>
    </row>
    <row r="752">
      <c r="K752" s="1"/>
      <c r="L752" s="1"/>
    </row>
    <row r="753">
      <c r="K753" s="1"/>
      <c r="L753" s="1"/>
    </row>
    <row r="754">
      <c r="K754" s="1"/>
      <c r="L754" s="1"/>
    </row>
    <row r="755">
      <c r="K755" s="1"/>
      <c r="L755" s="1"/>
    </row>
    <row r="756">
      <c r="K756" s="1"/>
      <c r="L756" s="1"/>
    </row>
    <row r="757">
      <c r="K757" s="1"/>
      <c r="L757" s="1"/>
    </row>
    <row r="758">
      <c r="K758" s="1"/>
      <c r="L758" s="1"/>
    </row>
    <row r="759">
      <c r="K759" s="1"/>
      <c r="L759" s="1"/>
    </row>
    <row r="760">
      <c r="K760" s="1"/>
      <c r="L760" s="1"/>
    </row>
    <row r="761">
      <c r="K761" s="1"/>
      <c r="L761" s="1"/>
    </row>
    <row r="762">
      <c r="K762" s="1"/>
      <c r="L762" s="1"/>
    </row>
    <row r="763">
      <c r="K763" s="1"/>
      <c r="L763" s="1"/>
    </row>
    <row r="764">
      <c r="K764" s="1"/>
      <c r="L764" s="1"/>
    </row>
    <row r="765">
      <c r="K765" s="1"/>
      <c r="L765" s="1"/>
    </row>
    <row r="766">
      <c r="K766" s="1"/>
      <c r="L766" s="1"/>
    </row>
    <row r="767">
      <c r="K767" s="1"/>
      <c r="L767" s="1"/>
    </row>
    <row r="768">
      <c r="K768" s="1"/>
      <c r="L768" s="1"/>
    </row>
    <row r="769">
      <c r="K769" s="1"/>
      <c r="L769" s="1"/>
    </row>
    <row r="770">
      <c r="K770" s="1"/>
      <c r="L770" s="1"/>
    </row>
    <row r="771">
      <c r="K771" s="1"/>
      <c r="L771" s="1"/>
    </row>
    <row r="772">
      <c r="K772" s="1"/>
      <c r="L772" s="1"/>
    </row>
    <row r="773">
      <c r="K773" s="1"/>
      <c r="L773" s="1"/>
    </row>
    <row r="774">
      <c r="K774" s="1"/>
      <c r="L774" s="1"/>
    </row>
    <row r="775">
      <c r="K775" s="1"/>
      <c r="L775" s="1"/>
    </row>
    <row r="776">
      <c r="K776" s="1"/>
      <c r="L776" s="1"/>
    </row>
    <row r="777">
      <c r="K777" s="1"/>
      <c r="L777" s="1"/>
    </row>
    <row r="778">
      <c r="K778" s="1"/>
      <c r="L778" s="1"/>
    </row>
    <row r="779">
      <c r="K779" s="1"/>
      <c r="L779" s="1"/>
    </row>
    <row r="780">
      <c r="K780" s="1"/>
      <c r="L780" s="1"/>
    </row>
    <row r="781">
      <c r="K781" s="1"/>
      <c r="L781" s="1"/>
    </row>
    <row r="782">
      <c r="K782" s="1"/>
      <c r="L782" s="1"/>
    </row>
    <row r="783">
      <c r="K783" s="1"/>
      <c r="L783" s="1"/>
    </row>
    <row r="784">
      <c r="K784" s="1"/>
      <c r="L784" s="1"/>
    </row>
    <row r="785">
      <c r="K785" s="1"/>
      <c r="L785" s="1"/>
    </row>
    <row r="786">
      <c r="K786" s="1"/>
      <c r="L786" s="1"/>
    </row>
    <row r="787">
      <c r="K787" s="1"/>
      <c r="L787" s="1"/>
    </row>
    <row r="788">
      <c r="K788" s="1"/>
      <c r="L788" s="1"/>
    </row>
    <row r="789">
      <c r="K789" s="1"/>
      <c r="L789" s="1"/>
    </row>
    <row r="790">
      <c r="K790" s="1"/>
      <c r="L790" s="1"/>
    </row>
    <row r="791">
      <c r="K791" s="1"/>
      <c r="L791" s="1"/>
    </row>
    <row r="792">
      <c r="K792" s="1"/>
      <c r="L792" s="1"/>
    </row>
    <row r="793">
      <c r="K793" s="1"/>
      <c r="L793" s="1"/>
    </row>
    <row r="794">
      <c r="K794" s="1"/>
      <c r="L794" s="1"/>
    </row>
    <row r="795">
      <c r="K795" s="1"/>
      <c r="L795" s="1"/>
    </row>
    <row r="796">
      <c r="K796" s="1"/>
      <c r="L796" s="1"/>
    </row>
    <row r="797">
      <c r="K797" s="1"/>
      <c r="L797" s="1"/>
    </row>
    <row r="798">
      <c r="K798" s="1"/>
      <c r="L798" s="1"/>
    </row>
    <row r="799">
      <c r="K799" s="1"/>
      <c r="L799" s="1"/>
    </row>
    <row r="800">
      <c r="K800" s="1"/>
      <c r="L800" s="1"/>
    </row>
    <row r="801">
      <c r="K801" s="1"/>
      <c r="L801" s="1"/>
    </row>
    <row r="802">
      <c r="K802" s="1"/>
      <c r="L802" s="1"/>
    </row>
    <row r="803">
      <c r="K803" s="1"/>
      <c r="L803" s="1"/>
    </row>
    <row r="804">
      <c r="K804" s="1"/>
      <c r="L804" s="1"/>
    </row>
    <row r="805">
      <c r="K805" s="1"/>
      <c r="L805" s="1"/>
    </row>
    <row r="806">
      <c r="K806" s="1"/>
      <c r="L806" s="1"/>
    </row>
    <row r="807">
      <c r="K807" s="1"/>
      <c r="L807" s="1"/>
    </row>
    <row r="808">
      <c r="K808" s="1"/>
      <c r="L808" s="1"/>
    </row>
    <row r="809">
      <c r="K809" s="1"/>
      <c r="L809" s="1"/>
    </row>
    <row r="810">
      <c r="K810" s="1"/>
      <c r="L810" s="1"/>
    </row>
    <row r="811">
      <c r="K811" s="1"/>
      <c r="L811" s="1"/>
    </row>
    <row r="812">
      <c r="K812" s="1"/>
      <c r="L812" s="1"/>
    </row>
    <row r="813">
      <c r="K813" s="1"/>
      <c r="L813" s="1"/>
    </row>
    <row r="814">
      <c r="K814" s="1"/>
      <c r="L814" s="1"/>
    </row>
    <row r="815">
      <c r="K815" s="1"/>
      <c r="L815" s="1"/>
    </row>
    <row r="816">
      <c r="K816" s="1"/>
      <c r="L816" s="1"/>
    </row>
    <row r="817">
      <c r="K817" s="1"/>
      <c r="L817" s="1"/>
    </row>
    <row r="818">
      <c r="K818" s="1"/>
      <c r="L818" s="1"/>
    </row>
    <row r="819">
      <c r="K819" s="1"/>
      <c r="L819" s="1"/>
    </row>
    <row r="820">
      <c r="K820" s="1"/>
      <c r="L820" s="1"/>
    </row>
    <row r="821">
      <c r="K821" s="1"/>
      <c r="L821" s="1"/>
    </row>
    <row r="822">
      <c r="K822" s="1"/>
      <c r="L822" s="1"/>
    </row>
    <row r="823">
      <c r="K823" s="1"/>
      <c r="L823" s="1"/>
    </row>
    <row r="824">
      <c r="K824" s="1"/>
      <c r="L824" s="1"/>
    </row>
    <row r="825">
      <c r="K825" s="1"/>
      <c r="L825" s="1"/>
    </row>
    <row r="826">
      <c r="K826" s="1"/>
      <c r="L826" s="1"/>
    </row>
    <row r="827">
      <c r="K827" s="1"/>
      <c r="L827" s="1"/>
    </row>
    <row r="828">
      <c r="K828" s="1"/>
      <c r="L828" s="1"/>
    </row>
    <row r="829">
      <c r="K829" s="1"/>
      <c r="L829" s="1"/>
    </row>
    <row r="830">
      <c r="K830" s="1"/>
      <c r="L830" s="1"/>
    </row>
    <row r="831">
      <c r="K831" s="1"/>
      <c r="L831" s="1"/>
    </row>
    <row r="832">
      <c r="K832" s="1"/>
      <c r="L832" s="1"/>
    </row>
    <row r="833">
      <c r="K833" s="1"/>
      <c r="L833" s="1"/>
    </row>
    <row r="834">
      <c r="K834" s="1"/>
      <c r="L834" s="1"/>
    </row>
    <row r="835">
      <c r="K835" s="1"/>
      <c r="L835" s="1"/>
    </row>
    <row r="836">
      <c r="K836" s="1"/>
      <c r="L836" s="1"/>
    </row>
    <row r="837">
      <c r="K837" s="1"/>
      <c r="L837" s="1"/>
    </row>
    <row r="838">
      <c r="K838" s="1"/>
      <c r="L838" s="1"/>
    </row>
    <row r="839">
      <c r="K839" s="1"/>
      <c r="L839" s="1"/>
    </row>
    <row r="840">
      <c r="K840" s="1"/>
      <c r="L840" s="1"/>
    </row>
    <row r="841">
      <c r="K841" s="1"/>
      <c r="L841" s="1"/>
    </row>
    <row r="842">
      <c r="K842" s="1"/>
      <c r="L842" s="1"/>
    </row>
    <row r="843">
      <c r="K843" s="1"/>
      <c r="L843" s="1"/>
    </row>
    <row r="844">
      <c r="K844" s="1"/>
      <c r="L844" s="1"/>
    </row>
    <row r="845">
      <c r="K845" s="1"/>
      <c r="L845" s="1"/>
    </row>
    <row r="846">
      <c r="K846" s="1"/>
      <c r="L846" s="1"/>
    </row>
    <row r="847">
      <c r="K847" s="1"/>
      <c r="L847" s="1"/>
    </row>
    <row r="848">
      <c r="K848" s="1"/>
      <c r="L848" s="1"/>
    </row>
    <row r="849">
      <c r="K849" s="1"/>
      <c r="L849" s="1"/>
    </row>
    <row r="850">
      <c r="K850" s="1"/>
      <c r="L850" s="1"/>
    </row>
    <row r="851">
      <c r="K851" s="1"/>
      <c r="L851" s="1"/>
    </row>
    <row r="852">
      <c r="K852" s="1"/>
      <c r="L852" s="1"/>
    </row>
    <row r="853">
      <c r="K853" s="1"/>
      <c r="L853" s="1"/>
    </row>
    <row r="854">
      <c r="K854" s="1"/>
      <c r="L854" s="1"/>
    </row>
    <row r="855">
      <c r="K855" s="1"/>
      <c r="L855" s="1"/>
    </row>
    <row r="856">
      <c r="K856" s="1"/>
      <c r="L856" s="1"/>
    </row>
    <row r="857">
      <c r="K857" s="1"/>
      <c r="L857" s="1"/>
    </row>
    <row r="858">
      <c r="K858" s="1"/>
      <c r="L858" s="1"/>
    </row>
    <row r="859">
      <c r="K859" s="1"/>
      <c r="L859" s="1"/>
    </row>
    <row r="860">
      <c r="K860" s="1"/>
      <c r="L860" s="1"/>
    </row>
    <row r="861">
      <c r="K861" s="1"/>
      <c r="L861" s="1"/>
    </row>
    <row r="862">
      <c r="K862" s="1"/>
      <c r="L862" s="1"/>
    </row>
    <row r="863">
      <c r="K863" s="1"/>
      <c r="L863" s="1"/>
    </row>
    <row r="864">
      <c r="K864" s="1"/>
      <c r="L864" s="1"/>
    </row>
    <row r="865">
      <c r="K865" s="1"/>
      <c r="L865" s="1"/>
    </row>
    <row r="866">
      <c r="K866" s="1"/>
      <c r="L866" s="1"/>
    </row>
    <row r="867">
      <c r="K867" s="1"/>
      <c r="L867" s="1"/>
    </row>
    <row r="868">
      <c r="K868" s="1"/>
      <c r="L868" s="1"/>
    </row>
    <row r="869">
      <c r="K869" s="1"/>
      <c r="L869" s="1"/>
    </row>
    <row r="870">
      <c r="K870" s="1"/>
      <c r="L870" s="1"/>
    </row>
    <row r="871">
      <c r="K871" s="1"/>
      <c r="L871" s="1"/>
    </row>
    <row r="872">
      <c r="K872" s="1"/>
      <c r="L872" s="1"/>
    </row>
    <row r="873">
      <c r="K873" s="1"/>
      <c r="L873" s="1"/>
    </row>
    <row r="874">
      <c r="K874" s="1"/>
      <c r="L874" s="1"/>
    </row>
    <row r="875">
      <c r="K875" s="1"/>
      <c r="L875" s="1"/>
    </row>
    <row r="876">
      <c r="K876" s="1"/>
      <c r="L876" s="1"/>
    </row>
    <row r="877">
      <c r="K877" s="1"/>
      <c r="L877" s="1"/>
    </row>
    <row r="878">
      <c r="K878" s="1"/>
      <c r="L878" s="1"/>
    </row>
    <row r="879">
      <c r="K879" s="1"/>
      <c r="L879" s="1"/>
    </row>
    <row r="880">
      <c r="K880" s="1"/>
      <c r="L880" s="1"/>
    </row>
    <row r="881">
      <c r="K881" s="1"/>
      <c r="L881" s="1"/>
    </row>
    <row r="882">
      <c r="K882" s="1"/>
      <c r="L882" s="1"/>
    </row>
    <row r="883">
      <c r="K883" s="1"/>
      <c r="L883" s="1"/>
    </row>
    <row r="884">
      <c r="K884" s="1"/>
      <c r="L884" s="1"/>
    </row>
    <row r="885">
      <c r="K885" s="1"/>
      <c r="L885" s="1"/>
    </row>
    <row r="886">
      <c r="K886" s="1"/>
      <c r="L886" s="1"/>
    </row>
    <row r="887">
      <c r="K887" s="1"/>
      <c r="L887" s="1"/>
    </row>
    <row r="888">
      <c r="K888" s="1"/>
      <c r="L888" s="1"/>
    </row>
    <row r="889">
      <c r="K889" s="1"/>
      <c r="L889" s="1"/>
    </row>
    <row r="890">
      <c r="K890" s="1"/>
      <c r="L890" s="1"/>
    </row>
    <row r="891">
      <c r="K891" s="1"/>
      <c r="L891" s="1"/>
    </row>
    <row r="892">
      <c r="K892" s="1"/>
      <c r="L892" s="1"/>
    </row>
    <row r="893">
      <c r="K893" s="1"/>
      <c r="L893" s="1"/>
    </row>
    <row r="894">
      <c r="K894" s="1"/>
      <c r="L894" s="1"/>
    </row>
    <row r="895">
      <c r="K895" s="1"/>
      <c r="L895" s="1"/>
    </row>
    <row r="896">
      <c r="K896" s="1"/>
      <c r="L896" s="1"/>
    </row>
    <row r="897">
      <c r="K897" s="1"/>
      <c r="L897" s="1"/>
    </row>
    <row r="898">
      <c r="K898" s="1"/>
      <c r="L898" s="1"/>
    </row>
    <row r="899">
      <c r="K899" s="1"/>
      <c r="L899" s="1"/>
    </row>
    <row r="900">
      <c r="K900" s="1"/>
      <c r="L900" s="1"/>
    </row>
    <row r="901">
      <c r="K901" s="1"/>
      <c r="L901" s="1"/>
    </row>
    <row r="902">
      <c r="K902" s="1"/>
      <c r="L902" s="1"/>
    </row>
    <row r="903">
      <c r="K903" s="1"/>
      <c r="L903" s="1"/>
    </row>
    <row r="904">
      <c r="K904" s="1"/>
      <c r="L904" s="1"/>
    </row>
    <row r="905">
      <c r="K905" s="1"/>
      <c r="L905" s="1"/>
    </row>
    <row r="906">
      <c r="K906" s="1"/>
      <c r="L906" s="1"/>
    </row>
    <row r="907">
      <c r="K907" s="1"/>
      <c r="L907" s="1"/>
    </row>
    <row r="908">
      <c r="K908" s="1"/>
      <c r="L908" s="1"/>
    </row>
    <row r="909">
      <c r="K909" s="1"/>
      <c r="L909" s="1"/>
    </row>
    <row r="910">
      <c r="K910" s="1"/>
      <c r="L910" s="1"/>
    </row>
    <row r="911">
      <c r="K911" s="1"/>
      <c r="L911" s="1"/>
    </row>
    <row r="912">
      <c r="K912" s="1"/>
      <c r="L912" s="1"/>
    </row>
    <row r="913">
      <c r="K913" s="1"/>
      <c r="L913" s="1"/>
    </row>
    <row r="914">
      <c r="K914" s="1"/>
      <c r="L914" s="1"/>
    </row>
    <row r="915">
      <c r="K915" s="1"/>
      <c r="L915" s="1"/>
    </row>
    <row r="916">
      <c r="K916" s="1"/>
      <c r="L916" s="1"/>
    </row>
    <row r="917">
      <c r="K917" s="1"/>
      <c r="L917" s="1"/>
    </row>
    <row r="918">
      <c r="K918" s="1"/>
      <c r="L918" s="1"/>
    </row>
    <row r="919">
      <c r="K919" s="1"/>
      <c r="L919" s="1"/>
    </row>
    <row r="920">
      <c r="K920" s="1"/>
      <c r="L920" s="1"/>
    </row>
    <row r="921">
      <c r="K921" s="1"/>
      <c r="L921" s="1"/>
    </row>
    <row r="922">
      <c r="K922" s="1"/>
      <c r="L922" s="1"/>
    </row>
    <row r="923">
      <c r="K923" s="1"/>
      <c r="L923" s="1"/>
    </row>
    <row r="924">
      <c r="K924" s="1"/>
      <c r="L924" s="1"/>
    </row>
    <row r="925">
      <c r="K925" s="1"/>
      <c r="L925" s="1"/>
    </row>
    <row r="926">
      <c r="K926" s="1"/>
      <c r="L926" s="1"/>
    </row>
    <row r="927">
      <c r="K927" s="1"/>
      <c r="L927" s="1"/>
    </row>
    <row r="928">
      <c r="K928" s="1"/>
      <c r="L928" s="1"/>
    </row>
    <row r="929">
      <c r="K929" s="1"/>
      <c r="L929" s="1"/>
    </row>
    <row r="930">
      <c r="K930" s="1"/>
      <c r="L930" s="1"/>
    </row>
    <row r="931">
      <c r="K931" s="1"/>
      <c r="L931" s="1"/>
    </row>
    <row r="932">
      <c r="K932" s="1"/>
      <c r="L932" s="1"/>
    </row>
    <row r="933">
      <c r="K933" s="1"/>
      <c r="L933" s="1"/>
    </row>
    <row r="934">
      <c r="K934" s="1"/>
      <c r="L934" s="1"/>
    </row>
    <row r="935">
      <c r="K935" s="1"/>
      <c r="L935" s="1"/>
    </row>
    <row r="936">
      <c r="K936" s="1"/>
      <c r="L936" s="1"/>
    </row>
    <row r="937">
      <c r="K937" s="1"/>
      <c r="L937" s="1"/>
    </row>
    <row r="938">
      <c r="K938" s="1"/>
      <c r="L938" s="1"/>
    </row>
    <row r="939">
      <c r="K939" s="1"/>
      <c r="L939" s="1"/>
    </row>
    <row r="940">
      <c r="K940" s="1"/>
      <c r="L940" s="1"/>
    </row>
    <row r="941">
      <c r="K941" s="1"/>
      <c r="L941" s="1"/>
    </row>
    <row r="942">
      <c r="K942" s="1"/>
      <c r="L942" s="1"/>
    </row>
    <row r="943">
      <c r="K943" s="1"/>
      <c r="L943" s="1"/>
    </row>
    <row r="944">
      <c r="K944" s="1"/>
      <c r="L944" s="1"/>
    </row>
    <row r="945">
      <c r="K945" s="1"/>
      <c r="L945" s="1"/>
    </row>
    <row r="946">
      <c r="K946" s="1"/>
      <c r="L946" s="1"/>
    </row>
    <row r="947">
      <c r="K947" s="1"/>
      <c r="L947" s="1"/>
    </row>
    <row r="948">
      <c r="K948" s="1"/>
      <c r="L948" s="1"/>
    </row>
    <row r="949">
      <c r="K949" s="1"/>
      <c r="L949" s="1"/>
    </row>
    <row r="950">
      <c r="K950" s="1"/>
      <c r="L950" s="1"/>
    </row>
    <row r="951">
      <c r="K951" s="1"/>
      <c r="L951" s="1"/>
    </row>
    <row r="952">
      <c r="K952" s="1"/>
      <c r="L952" s="1"/>
    </row>
    <row r="953">
      <c r="K953" s="1"/>
      <c r="L953" s="1"/>
    </row>
    <row r="954">
      <c r="K954" s="1"/>
      <c r="L954" s="1"/>
    </row>
    <row r="955">
      <c r="K955" s="1"/>
      <c r="L955" s="1"/>
    </row>
    <row r="956">
      <c r="K956" s="1"/>
      <c r="L956" s="1"/>
    </row>
    <row r="957">
      <c r="K957" s="1"/>
      <c r="L957" s="1"/>
    </row>
    <row r="958">
      <c r="K958" s="1"/>
      <c r="L958" s="1"/>
    </row>
    <row r="959">
      <c r="K959" s="1"/>
      <c r="L959" s="1"/>
    </row>
    <row r="960">
      <c r="K960" s="1"/>
      <c r="L960" s="1"/>
    </row>
    <row r="961">
      <c r="K961" s="1"/>
      <c r="L961" s="1"/>
    </row>
    <row r="962">
      <c r="K962" s="1"/>
      <c r="L962" s="1"/>
    </row>
    <row r="963">
      <c r="K963" s="1"/>
      <c r="L963" s="1"/>
    </row>
    <row r="964">
      <c r="K964" s="1"/>
      <c r="L964" s="1"/>
    </row>
    <row r="965">
      <c r="K965" s="1"/>
      <c r="L965" s="1"/>
    </row>
    <row r="966">
      <c r="K966" s="1"/>
      <c r="L966" s="1"/>
    </row>
    <row r="967">
      <c r="K967" s="1"/>
      <c r="L967" s="1"/>
    </row>
    <row r="968">
      <c r="K968" s="1"/>
      <c r="L968" s="1"/>
    </row>
    <row r="969">
      <c r="K969" s="1"/>
      <c r="L969" s="1"/>
    </row>
    <row r="970">
      <c r="K970" s="1"/>
      <c r="L970" s="1"/>
    </row>
    <row r="971">
      <c r="K971" s="1"/>
      <c r="L971" s="1"/>
    </row>
    <row r="972">
      <c r="K972" s="1"/>
      <c r="L972" s="1"/>
    </row>
    <row r="973">
      <c r="K973" s="1"/>
      <c r="L973" s="1"/>
    </row>
    <row r="974">
      <c r="K974" s="1"/>
      <c r="L974" s="1"/>
    </row>
    <row r="975">
      <c r="K975" s="1"/>
      <c r="L975" s="1"/>
    </row>
    <row r="976">
      <c r="K976" s="1"/>
      <c r="L976" s="1"/>
    </row>
    <row r="977">
      <c r="K977" s="1"/>
      <c r="L977" s="1"/>
    </row>
    <row r="978">
      <c r="K978" s="1"/>
      <c r="L978" s="1"/>
    </row>
    <row r="979">
      <c r="K979" s="1"/>
      <c r="L979" s="1"/>
    </row>
    <row r="980">
      <c r="K980" s="1"/>
      <c r="L980" s="1"/>
    </row>
    <row r="981">
      <c r="K981" s="1"/>
      <c r="L981" s="1"/>
    </row>
    <row r="982">
      <c r="K982" s="1"/>
      <c r="L982" s="1"/>
    </row>
    <row r="983">
      <c r="K983" s="1"/>
      <c r="L983" s="1"/>
    </row>
    <row r="984">
      <c r="K984" s="1"/>
      <c r="L984" s="1"/>
    </row>
    <row r="985">
      <c r="K985" s="1"/>
      <c r="L985" s="1"/>
    </row>
    <row r="986">
      <c r="K986" s="1"/>
      <c r="L986" s="1"/>
    </row>
    <row r="987">
      <c r="K987" s="1"/>
      <c r="L987" s="1"/>
    </row>
    <row r="988">
      <c r="K988" s="1"/>
      <c r="L988" s="1"/>
    </row>
    <row r="989">
      <c r="K989" s="1"/>
      <c r="L989" s="1"/>
    </row>
    <row r="990">
      <c r="K990" s="1"/>
      <c r="L990" s="1"/>
    </row>
    <row r="991">
      <c r="K991" s="1"/>
      <c r="L991" s="1"/>
    </row>
    <row r="992">
      <c r="K992" s="1"/>
      <c r="L992" s="1"/>
    </row>
    <row r="993">
      <c r="K993" s="1"/>
      <c r="L993" s="1"/>
    </row>
    <row r="994">
      <c r="K994" s="1"/>
      <c r="L994" s="1"/>
    </row>
    <row r="995">
      <c r="K995" s="1"/>
      <c r="L995" s="1"/>
    </row>
    <row r="996">
      <c r="K996" s="1"/>
      <c r="L996" s="1"/>
    </row>
    <row r="997">
      <c r="K997" s="1"/>
      <c r="L997" s="1"/>
    </row>
  </sheetData>
  <mergeCells count="1">
    <mergeCell ref="A2:A4"/>
  </mergeCells>
  <dataValidations>
    <dataValidation type="list" allowBlank="1" showErrorMessage="1" sqref="D7:D106">
      <formula1>"0,1,2,3"</formula1>
    </dataValidation>
  </dataValidation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5.13"/>
    <col customWidth="1" min="7" max="7" width="26.13"/>
    <col customWidth="1" min="9" max="9" width="5.13"/>
    <col customWidth="1" min="10" max="10" width="7.75"/>
    <col customWidth="1" min="14" max="14" width="33.25"/>
  </cols>
  <sheetData>
    <row r="1" ht="15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3">
      <c r="A3" s="23" t="s">
        <v>166</v>
      </c>
      <c r="D3" s="24" t="s">
        <v>167</v>
      </c>
    </row>
    <row r="7">
      <c r="D7" s="25" t="s">
        <v>168</v>
      </c>
    </row>
    <row r="9">
      <c r="C9" s="26" t="s">
        <v>3</v>
      </c>
      <c r="D9" s="27" t="s">
        <v>4</v>
      </c>
      <c r="E9" s="28"/>
      <c r="F9" s="28"/>
      <c r="G9" s="28"/>
      <c r="H9" s="29" t="s">
        <v>5</v>
      </c>
    </row>
    <row r="10">
      <c r="C10" s="30">
        <v>1.0</v>
      </c>
      <c r="D10" s="9" t="s">
        <v>169</v>
      </c>
      <c r="H10" s="31">
        <v>2.0</v>
      </c>
      <c r="J10" s="4">
        <v>12.0</v>
      </c>
    </row>
    <row r="11">
      <c r="C11" s="30">
        <v>2.0</v>
      </c>
      <c r="D11" s="9" t="s">
        <v>170</v>
      </c>
      <c r="H11" s="31">
        <v>1.0</v>
      </c>
    </row>
    <row r="12">
      <c r="C12" s="30">
        <v>3.0</v>
      </c>
      <c r="D12" s="32" t="s">
        <v>171</v>
      </c>
      <c r="H12" s="31">
        <v>2.0</v>
      </c>
    </row>
    <row r="13">
      <c r="C13" s="30">
        <v>4.0</v>
      </c>
      <c r="D13" s="9" t="s">
        <v>172</v>
      </c>
      <c r="H13" s="31">
        <v>2.0</v>
      </c>
    </row>
    <row r="14">
      <c r="C14" s="33">
        <v>5.0</v>
      </c>
      <c r="D14" s="34" t="s">
        <v>173</v>
      </c>
      <c r="E14" s="35"/>
      <c r="F14" s="35"/>
      <c r="G14" s="35"/>
      <c r="H14" s="36">
        <v>5.0</v>
      </c>
    </row>
    <row r="15" ht="145.5" customHeight="1">
      <c r="H15" s="14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.5" customHeight="1"/>
    <row r="18" ht="1.5" customHeight="1"/>
    <row r="19" ht="1.5" customHeight="1"/>
    <row r="20" ht="1.5" customHeight="1"/>
    <row r="21" ht="1.5" customHeight="1"/>
    <row r="22" ht="1.5" customHeight="1">
      <c r="D22" s="24" t="s">
        <v>174</v>
      </c>
    </row>
    <row r="23">
      <c r="A23" s="23" t="s">
        <v>175</v>
      </c>
    </row>
    <row r="27" ht="30.75" customHeight="1">
      <c r="B27" s="37" t="s">
        <v>176</v>
      </c>
    </row>
    <row r="29">
      <c r="C29" s="38" t="s">
        <v>3</v>
      </c>
      <c r="D29" s="39" t="s">
        <v>4</v>
      </c>
      <c r="E29" s="40"/>
      <c r="F29" s="40"/>
      <c r="G29" s="40"/>
      <c r="H29" s="41" t="s">
        <v>5</v>
      </c>
    </row>
    <row r="30">
      <c r="C30" s="11">
        <v>1.0</v>
      </c>
      <c r="D30" s="4" t="s">
        <v>177</v>
      </c>
      <c r="H30" s="42">
        <v>2.0</v>
      </c>
      <c r="J30" s="4">
        <v>38.0</v>
      </c>
    </row>
    <row r="31">
      <c r="C31" s="11">
        <v>2.0</v>
      </c>
      <c r="D31" s="4" t="s">
        <v>178</v>
      </c>
      <c r="H31" s="42">
        <v>2.0</v>
      </c>
    </row>
    <row r="32">
      <c r="C32" s="11">
        <v>3.0</v>
      </c>
      <c r="D32" s="4" t="s">
        <v>179</v>
      </c>
      <c r="H32" s="42">
        <v>2.0</v>
      </c>
    </row>
    <row r="33">
      <c r="C33" s="11">
        <v>4.0</v>
      </c>
      <c r="D33" s="12" t="s">
        <v>180</v>
      </c>
      <c r="H33" s="42">
        <v>5.0</v>
      </c>
    </row>
    <row r="34">
      <c r="C34" s="11">
        <v>5.0</v>
      </c>
      <c r="D34" s="4" t="s">
        <v>181</v>
      </c>
      <c r="H34" s="42">
        <v>5.0</v>
      </c>
    </row>
    <row r="35">
      <c r="C35" s="11">
        <v>6.0</v>
      </c>
      <c r="D35" s="4" t="s">
        <v>182</v>
      </c>
      <c r="H35" s="42">
        <v>3.0</v>
      </c>
    </row>
    <row r="36">
      <c r="C36" s="11">
        <v>7.0</v>
      </c>
      <c r="D36" s="4" t="s">
        <v>183</v>
      </c>
      <c r="H36" s="42">
        <v>4.0</v>
      </c>
    </row>
    <row r="37">
      <c r="C37" s="11">
        <v>8.0</v>
      </c>
      <c r="D37" s="4" t="s">
        <v>184</v>
      </c>
      <c r="H37" s="42">
        <v>3.0</v>
      </c>
    </row>
    <row r="38">
      <c r="C38" s="11">
        <v>9.0</v>
      </c>
      <c r="D38" s="4" t="s">
        <v>185</v>
      </c>
      <c r="H38" s="42">
        <v>1.0</v>
      </c>
    </row>
    <row r="39">
      <c r="C39" s="11">
        <v>10.0</v>
      </c>
      <c r="D39" s="4" t="s">
        <v>186</v>
      </c>
      <c r="H39" s="42">
        <v>4.0</v>
      </c>
    </row>
    <row r="40">
      <c r="C40" s="11">
        <v>11.0</v>
      </c>
      <c r="D40" s="4" t="s">
        <v>187</v>
      </c>
      <c r="H40" s="42">
        <v>3.0</v>
      </c>
    </row>
    <row r="41">
      <c r="C41" s="19">
        <v>12.0</v>
      </c>
      <c r="D41" s="43" t="s">
        <v>188</v>
      </c>
      <c r="E41" s="44"/>
      <c r="F41" s="44"/>
      <c r="G41" s="44"/>
      <c r="H41" s="45">
        <v>4.0</v>
      </c>
    </row>
    <row r="42">
      <c r="H42" s="14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D45" s="24" t="s">
        <v>189</v>
      </c>
    </row>
    <row r="48">
      <c r="A48" s="23" t="s">
        <v>190</v>
      </c>
    </row>
    <row r="50">
      <c r="B50" s="37" t="s">
        <v>191</v>
      </c>
    </row>
    <row r="51">
      <c r="N51" s="46" t="s">
        <v>192</v>
      </c>
      <c r="O51" s="47"/>
      <c r="Q51" s="5" t="s">
        <v>193</v>
      </c>
      <c r="R51" s="48"/>
    </row>
    <row r="52">
      <c r="C52" s="38" t="s">
        <v>3</v>
      </c>
      <c r="D52" s="39" t="s">
        <v>4</v>
      </c>
      <c r="E52" s="40"/>
      <c r="F52" s="40"/>
      <c r="G52" s="40"/>
      <c r="H52" s="41" t="s">
        <v>5</v>
      </c>
      <c r="N52" s="38" t="s">
        <v>194</v>
      </c>
      <c r="O52" s="49">
        <f>SUM(H53:H55)</f>
        <v>0</v>
      </c>
      <c r="Q52" s="50" t="s">
        <v>195</v>
      </c>
      <c r="R52" s="51" t="s">
        <v>196</v>
      </c>
    </row>
    <row r="53">
      <c r="C53" s="11">
        <v>1.0</v>
      </c>
      <c r="D53" s="12" t="s">
        <v>197</v>
      </c>
      <c r="H53" s="52"/>
      <c r="N53" s="50" t="s">
        <v>198</v>
      </c>
      <c r="O53" s="53">
        <f>SUM(H56:H58)</f>
        <v>0</v>
      </c>
      <c r="Q53" s="50" t="s">
        <v>199</v>
      </c>
      <c r="R53" s="51" t="s">
        <v>200</v>
      </c>
    </row>
    <row r="54">
      <c r="C54" s="11">
        <v>2.0</v>
      </c>
      <c r="D54" s="12" t="s">
        <v>201</v>
      </c>
      <c r="H54" s="52"/>
      <c r="N54" s="50" t="s">
        <v>202</v>
      </c>
      <c r="O54" s="53">
        <f>SUM(H59:H61)</f>
        <v>0</v>
      </c>
      <c r="Q54" s="50" t="s">
        <v>203</v>
      </c>
      <c r="R54" s="51" t="s">
        <v>204</v>
      </c>
    </row>
    <row r="55">
      <c r="C55" s="11">
        <v>3.0</v>
      </c>
      <c r="D55" s="12" t="s">
        <v>205</v>
      </c>
      <c r="H55" s="52"/>
      <c r="N55" s="50" t="s">
        <v>206</v>
      </c>
      <c r="O55" s="54">
        <f>SUM(H62:H64)</f>
        <v>0</v>
      </c>
      <c r="Q55" s="55" t="s">
        <v>207</v>
      </c>
      <c r="R55" s="56" t="s">
        <v>208</v>
      </c>
    </row>
    <row r="56">
      <c r="C56" s="11">
        <v>4.0</v>
      </c>
      <c r="D56" s="12" t="s">
        <v>209</v>
      </c>
      <c r="H56" s="52"/>
      <c r="N56" s="55" t="s">
        <v>210</v>
      </c>
      <c r="O56" s="57">
        <f>SUM(O52:O55)</f>
        <v>0</v>
      </c>
    </row>
    <row r="57">
      <c r="C57" s="11">
        <v>5.0</v>
      </c>
      <c r="D57" s="12" t="s">
        <v>211</v>
      </c>
      <c r="H57" s="52"/>
    </row>
    <row r="58">
      <c r="C58" s="11">
        <v>6.0</v>
      </c>
      <c r="D58" s="12" t="s">
        <v>212</v>
      </c>
      <c r="H58" s="52"/>
    </row>
    <row r="59">
      <c r="C59" s="11">
        <v>7.0</v>
      </c>
      <c r="D59" s="12" t="s">
        <v>213</v>
      </c>
      <c r="H59" s="52"/>
    </row>
    <row r="60">
      <c r="C60" s="11">
        <v>8.0</v>
      </c>
      <c r="D60" s="12" t="s">
        <v>214</v>
      </c>
      <c r="H60" s="52"/>
    </row>
    <row r="61">
      <c r="C61" s="11">
        <v>9.0</v>
      </c>
      <c r="D61" s="12" t="s">
        <v>215</v>
      </c>
      <c r="H61" s="52"/>
    </row>
    <row r="62">
      <c r="C62" s="11">
        <v>10.0</v>
      </c>
      <c r="D62" s="12" t="s">
        <v>216</v>
      </c>
      <c r="H62" s="52"/>
    </row>
    <row r="63">
      <c r="C63" s="11">
        <v>11.0</v>
      </c>
      <c r="D63" s="12" t="s">
        <v>217</v>
      </c>
      <c r="H63" s="52"/>
    </row>
    <row r="64">
      <c r="C64" s="19">
        <v>12.0</v>
      </c>
      <c r="D64" s="20" t="s">
        <v>218</v>
      </c>
      <c r="E64" s="44"/>
      <c r="F64" s="44"/>
      <c r="G64" s="44"/>
      <c r="H64" s="58"/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</sheetData>
  <mergeCells count="41">
    <mergeCell ref="D13:G13"/>
    <mergeCell ref="D14:G14"/>
    <mergeCell ref="D22:H26"/>
    <mergeCell ref="A23:A41"/>
    <mergeCell ref="B27:J27"/>
    <mergeCell ref="D29:G29"/>
    <mergeCell ref="D30:G30"/>
    <mergeCell ref="D41:G41"/>
    <mergeCell ref="D58:G58"/>
    <mergeCell ref="D59:G59"/>
    <mergeCell ref="D60:G60"/>
    <mergeCell ref="D61:G61"/>
    <mergeCell ref="D62:G62"/>
    <mergeCell ref="D63:G63"/>
    <mergeCell ref="D39:G39"/>
    <mergeCell ref="D40:G40"/>
    <mergeCell ref="D45:H49"/>
    <mergeCell ref="A48:A66"/>
    <mergeCell ref="B50:J50"/>
    <mergeCell ref="D52:G52"/>
    <mergeCell ref="D53:G53"/>
    <mergeCell ref="D64:G64"/>
    <mergeCell ref="A3:A14"/>
    <mergeCell ref="D3:H5"/>
    <mergeCell ref="D7:H7"/>
    <mergeCell ref="D9:G9"/>
    <mergeCell ref="D10:G10"/>
    <mergeCell ref="D11:G11"/>
    <mergeCell ref="D12:G12"/>
    <mergeCell ref="D31:G31"/>
    <mergeCell ref="D32:G32"/>
    <mergeCell ref="D33:G33"/>
    <mergeCell ref="D34:G34"/>
    <mergeCell ref="D35:G35"/>
    <mergeCell ref="D36:G36"/>
    <mergeCell ref="D37:G37"/>
    <mergeCell ref="D38:G38"/>
    <mergeCell ref="D54:G54"/>
    <mergeCell ref="D55:G55"/>
    <mergeCell ref="D56:G56"/>
    <mergeCell ref="D57:G57"/>
  </mergeCells>
  <conditionalFormatting sqref="O56">
    <cfRule type="cellIs" dxfId="0" priority="1" operator="greaterThanOrEqual">
      <formula>31</formula>
    </cfRule>
  </conditionalFormatting>
  <dataValidations>
    <dataValidation type="list" allowBlank="1" showErrorMessage="1" sqref="H53:H64">
      <formula1>"1,2,3,4"</formula1>
    </dataValidation>
    <dataValidation type="list" allowBlank="1" showErrorMessage="1" sqref="H10:H14">
      <formula1>"1,2,3,4,5"</formula1>
    </dataValidation>
    <dataValidation type="list" allowBlank="1" showErrorMessage="1" sqref="H30:H41">
      <formula1>"1,2,3,4,5"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6.0" topLeftCell="A7" activePane="bottomLeft" state="frozen"/>
      <selection activeCell="B8" sqref="B8" pane="bottomLeft"/>
    </sheetView>
  </sheetViews>
  <sheetFormatPr customHeight="1" defaultColWidth="12.63" defaultRowHeight="15.75"/>
  <cols>
    <col customWidth="1" min="2" max="2" width="4.63"/>
    <col customWidth="1" min="3" max="3" width="71.38"/>
    <col customWidth="1" min="9" max="9" width="44.13"/>
    <col customWidth="1" min="10" max="10" width="19.63"/>
    <col customWidth="1" min="11" max="11" width="17.63"/>
    <col customWidth="1" min="12" max="12" width="27.63"/>
  </cols>
  <sheetData>
    <row r="1">
      <c r="K1" s="1"/>
      <c r="L1" s="1"/>
    </row>
    <row r="2">
      <c r="A2" s="2" t="s">
        <v>0</v>
      </c>
      <c r="C2" s="3" t="s">
        <v>1</v>
      </c>
      <c r="K2" s="1"/>
      <c r="L2" s="1"/>
    </row>
    <row r="3" ht="6.75" customHeight="1">
      <c r="C3" s="3"/>
      <c r="K3" s="1"/>
      <c r="L3" s="1"/>
    </row>
    <row r="4" ht="78.0" customHeight="1">
      <c r="C4" s="3" t="s">
        <v>2</v>
      </c>
      <c r="K4" s="1"/>
      <c r="L4" s="1"/>
    </row>
    <row r="5" ht="3.0" customHeight="1">
      <c r="D5" s="4"/>
      <c r="K5" s="1"/>
      <c r="L5" s="1"/>
    </row>
    <row r="6">
      <c r="B6" s="5" t="s">
        <v>3</v>
      </c>
      <c r="C6" s="6" t="s">
        <v>4</v>
      </c>
      <c r="D6" s="7" t="s">
        <v>5</v>
      </c>
      <c r="J6" s="8" t="s">
        <v>6</v>
      </c>
      <c r="K6" s="8" t="s">
        <v>7</v>
      </c>
      <c r="L6" s="8" t="s">
        <v>8</v>
      </c>
      <c r="M6" s="8" t="s">
        <v>9</v>
      </c>
      <c r="N6" s="9" t="s">
        <v>10</v>
      </c>
      <c r="O6" s="10"/>
      <c r="P6" s="10"/>
      <c r="Q6" s="10"/>
      <c r="R6" s="10"/>
      <c r="S6" s="10"/>
      <c r="T6" s="10"/>
      <c r="U6" s="10"/>
      <c r="V6" s="10"/>
    </row>
    <row r="7">
      <c r="B7" s="11">
        <v>1.0</v>
      </c>
      <c r="C7" s="12" t="s">
        <v>11</v>
      </c>
      <c r="D7" s="13">
        <v>2.0</v>
      </c>
      <c r="I7" s="14"/>
      <c r="J7" s="15" t="s">
        <v>12</v>
      </c>
      <c r="K7" s="10" t="s">
        <v>13</v>
      </c>
      <c r="L7" s="10" t="s">
        <v>14</v>
      </c>
      <c r="M7" s="16">
        <f>(D30+D39+D50+D79)/4</f>
        <v>2</v>
      </c>
      <c r="N7" s="16">
        <f>(M7 - 1.69) / 0.84</f>
        <v>0.369047619</v>
      </c>
      <c r="O7" s="10"/>
      <c r="P7" s="10"/>
      <c r="Q7" s="10"/>
      <c r="R7" s="16"/>
      <c r="S7" s="16"/>
      <c r="T7" s="16"/>
      <c r="U7" s="16"/>
      <c r="V7" s="16"/>
    </row>
    <row r="8">
      <c r="B8" s="11">
        <v>2.0</v>
      </c>
      <c r="C8" s="12" t="s">
        <v>15</v>
      </c>
      <c r="D8" s="13">
        <v>3.0</v>
      </c>
      <c r="I8" s="14"/>
      <c r="J8" s="17"/>
      <c r="K8" s="10" t="s">
        <v>16</v>
      </c>
      <c r="L8" s="10" t="s">
        <v>17</v>
      </c>
      <c r="M8" s="16">
        <f>(D44+D55+D73+D81)/4</f>
        <v>2</v>
      </c>
      <c r="N8" s="16">
        <f>(M8 - 1.46) / 0.86</f>
        <v>0.6279069767</v>
      </c>
      <c r="O8" s="10"/>
      <c r="P8" s="10"/>
      <c r="Q8" s="10"/>
      <c r="R8" s="16"/>
      <c r="S8" s="16"/>
      <c r="T8" s="16"/>
      <c r="U8" s="16"/>
      <c r="V8" s="16"/>
    </row>
    <row r="9">
      <c r="B9" s="11">
        <v>3.0</v>
      </c>
      <c r="C9" s="12" t="s">
        <v>18</v>
      </c>
      <c r="D9" s="13">
        <v>1.0</v>
      </c>
      <c r="J9" s="17"/>
      <c r="K9" s="10" t="s">
        <v>19</v>
      </c>
      <c r="L9" s="10" t="s">
        <v>20</v>
      </c>
      <c r="M9" s="16">
        <f>(D18+D35+D68+D76)/4</f>
        <v>1.5</v>
      </c>
      <c r="N9" s="16">
        <f>(M9 - 1.17) / 0.7</f>
        <v>0.4714285714</v>
      </c>
      <c r="O9" s="10"/>
      <c r="P9" s="10"/>
      <c r="Q9" s="10"/>
      <c r="R9" s="16"/>
      <c r="S9" s="16"/>
      <c r="T9" s="16"/>
      <c r="U9" s="16"/>
      <c r="V9" s="16"/>
    </row>
    <row r="10">
      <c r="B10" s="11">
        <v>4.0</v>
      </c>
      <c r="C10" s="12" t="s">
        <v>21</v>
      </c>
      <c r="D10" s="13">
        <v>2.0</v>
      </c>
      <c r="J10" s="17"/>
      <c r="K10" s="10" t="s">
        <v>22</v>
      </c>
      <c r="L10" s="10" t="s">
        <v>23</v>
      </c>
      <c r="M10" s="16">
        <f>(D25+D31+D36+D48)/4</f>
        <v>0.75</v>
      </c>
      <c r="N10" s="16">
        <f>(M10 - 1.22) / 0.68</f>
        <v>-0.6911764706</v>
      </c>
      <c r="O10" s="10"/>
      <c r="P10" s="10"/>
      <c r="Q10" s="10"/>
      <c r="R10" s="16"/>
      <c r="S10" s="16"/>
      <c r="T10" s="16"/>
      <c r="U10" s="16"/>
      <c r="V10" s="16"/>
    </row>
    <row r="11">
      <c r="B11" s="11">
        <v>5.0</v>
      </c>
      <c r="C11" s="12" t="s">
        <v>24</v>
      </c>
      <c r="D11" s="13">
        <v>2.0</v>
      </c>
      <c r="J11" s="17"/>
      <c r="K11" s="8" t="s">
        <v>25</v>
      </c>
      <c r="L11" s="8" t="s">
        <v>26</v>
      </c>
      <c r="M11" s="18">
        <f>((3-D34)+(3-D83)+(3-D103)+(3-D106))/4</f>
        <v>1.25</v>
      </c>
      <c r="N11" s="16">
        <f>(M11 - 0.97) / 0.69</f>
        <v>0.4057971014</v>
      </c>
      <c r="O11" s="10"/>
      <c r="P11" s="10"/>
      <c r="Q11" s="10"/>
      <c r="R11" s="16"/>
      <c r="S11" s="16"/>
      <c r="T11" s="16"/>
      <c r="U11" s="16"/>
      <c r="V11" s="16"/>
    </row>
    <row r="12">
      <c r="B12" s="11">
        <v>6.0</v>
      </c>
      <c r="C12" s="12" t="s">
        <v>27</v>
      </c>
      <c r="D12" s="13">
        <v>3.0</v>
      </c>
      <c r="J12" s="17"/>
      <c r="K12" s="10" t="s">
        <v>28</v>
      </c>
      <c r="L12" s="10" t="s">
        <v>29</v>
      </c>
      <c r="M12" s="16">
        <f>(D23+D47+D60+D80)/4</f>
        <v>0.25</v>
      </c>
      <c r="N12" s="16">
        <f>(M12 - 1) / 0.81</f>
        <v>-0.9259259259</v>
      </c>
      <c r="O12" s="10"/>
      <c r="P12" s="10"/>
      <c r="Q12" s="10"/>
      <c r="R12" s="16"/>
      <c r="S12" s="16"/>
      <c r="T12" s="16"/>
      <c r="U12" s="16"/>
      <c r="V12" s="16"/>
    </row>
    <row r="13">
      <c r="B13" s="11">
        <v>7.0</v>
      </c>
      <c r="C13" s="12" t="s">
        <v>30</v>
      </c>
      <c r="D13" s="13">
        <v>0.0</v>
      </c>
      <c r="J13" s="17"/>
      <c r="K13" s="10" t="s">
        <v>31</v>
      </c>
      <c r="L13" s="10" t="s">
        <v>32</v>
      </c>
      <c r="M13" s="16">
        <f>(D9+D10+D26+D90)/4</f>
        <v>1.25</v>
      </c>
      <c r="N13" s="16">
        <f>(M13 - 1.33) / 0.76</f>
        <v>-0.1052631579</v>
      </c>
      <c r="O13" s="10"/>
      <c r="P13" s="10"/>
      <c r="Q13" s="10"/>
      <c r="R13" s="16"/>
      <c r="S13" s="16"/>
      <c r="T13" s="16"/>
      <c r="U13" s="16"/>
      <c r="V13" s="16"/>
    </row>
    <row r="14">
      <c r="B14" s="11">
        <v>8.0</v>
      </c>
      <c r="C14" s="12" t="s">
        <v>33</v>
      </c>
      <c r="D14" s="13">
        <v>2.0</v>
      </c>
      <c r="J14" s="15" t="s">
        <v>34</v>
      </c>
      <c r="K14" s="10" t="s">
        <v>35</v>
      </c>
      <c r="L14" s="10" t="s">
        <v>36</v>
      </c>
      <c r="M14" s="16">
        <f>(D15+D17+D45+D67)/4</f>
        <v>1.75</v>
      </c>
      <c r="N14" s="16">
        <f>(M14 - 1.46) / 0.8</f>
        <v>0.3625</v>
      </c>
      <c r="O14" s="10"/>
      <c r="P14" s="10"/>
      <c r="Q14" s="10"/>
      <c r="R14" s="16"/>
      <c r="S14" s="16"/>
      <c r="T14" s="16"/>
      <c r="U14" s="16"/>
      <c r="V14" s="16"/>
    </row>
    <row r="15">
      <c r="B15" s="11">
        <v>9.0</v>
      </c>
      <c r="C15" s="12" t="s">
        <v>37</v>
      </c>
      <c r="D15" s="13">
        <v>3.0</v>
      </c>
      <c r="J15" s="17"/>
      <c r="K15" s="10" t="s">
        <v>38</v>
      </c>
      <c r="L15" s="10" t="s">
        <v>39</v>
      </c>
      <c r="M15" s="16">
        <f>(D32+D62+D72+D75)/4</f>
        <v>1.75</v>
      </c>
      <c r="N15" s="16">
        <f>(M15 - 1.23) / 0.83</f>
        <v>0.6265060241</v>
      </c>
      <c r="O15" s="10"/>
      <c r="P15" s="10"/>
      <c r="Q15" s="10"/>
      <c r="R15" s="16"/>
      <c r="S15" s="16"/>
      <c r="T15" s="16"/>
      <c r="U15" s="16"/>
      <c r="V15" s="16"/>
    </row>
    <row r="16">
      <c r="B16" s="11">
        <v>10.0</v>
      </c>
      <c r="C16" s="12" t="s">
        <v>40</v>
      </c>
      <c r="D16" s="13">
        <v>2.0</v>
      </c>
      <c r="J16" s="17"/>
      <c r="K16" s="10" t="s">
        <v>41</v>
      </c>
      <c r="L16" s="10" t="s">
        <v>42</v>
      </c>
      <c r="M16" s="16">
        <f>(D34+D46+D58+D91)/4</f>
        <v>1.75</v>
      </c>
      <c r="N16" s="16">
        <f>(M16 - 0.97) / 0.82</f>
        <v>0.9512195122</v>
      </c>
      <c r="O16" s="10"/>
      <c r="P16" s="10"/>
      <c r="Q16" s="10"/>
      <c r="R16" s="16"/>
      <c r="S16" s="16"/>
      <c r="T16" s="16"/>
      <c r="U16" s="16"/>
      <c r="V16" s="16"/>
    </row>
    <row r="17">
      <c r="B17" s="11">
        <v>11.0</v>
      </c>
      <c r="C17" s="12" t="s">
        <v>43</v>
      </c>
      <c r="D17" s="13">
        <v>2.0</v>
      </c>
      <c r="J17" s="17"/>
      <c r="K17" s="10" t="s">
        <v>44</v>
      </c>
      <c r="L17" s="10" t="s">
        <v>45</v>
      </c>
      <c r="M17" s="16">
        <f>(D7+D41+D49+D85)/4</f>
        <v>2.25</v>
      </c>
      <c r="N17" s="16">
        <f>(M17 - 1.23) / 0.64</f>
        <v>1.59375</v>
      </c>
      <c r="O17" s="10"/>
      <c r="P17" s="10"/>
      <c r="Q17" s="10"/>
      <c r="R17" s="16"/>
      <c r="S17" s="16"/>
      <c r="T17" s="16"/>
      <c r="U17" s="16"/>
      <c r="V17" s="16"/>
    </row>
    <row r="18">
      <c r="B18" s="11">
        <v>12.0</v>
      </c>
      <c r="C18" s="12" t="s">
        <v>46</v>
      </c>
      <c r="D18" s="13">
        <v>2.0</v>
      </c>
      <c r="J18" s="17"/>
      <c r="K18" s="10" t="s">
        <v>47</v>
      </c>
      <c r="L18" s="10" t="s">
        <v>48</v>
      </c>
      <c r="M18" s="16">
        <f>(D33+D54+D61+D83)/4</f>
        <v>2</v>
      </c>
      <c r="N18" s="16">
        <f>(M18 - 1.63) / 0.84</f>
        <v>0.4404761905</v>
      </c>
      <c r="O18" s="10"/>
      <c r="P18" s="10"/>
      <c r="Q18" s="10"/>
      <c r="R18" s="16"/>
      <c r="S18" s="16"/>
      <c r="T18" s="16"/>
      <c r="U18" s="16"/>
      <c r="V18" s="16"/>
    </row>
    <row r="19">
      <c r="B19" s="11">
        <v>13.0</v>
      </c>
      <c r="C19" s="12" t="s">
        <v>49</v>
      </c>
      <c r="D19" s="13">
        <v>2.0</v>
      </c>
      <c r="J19" s="15" t="s">
        <v>50</v>
      </c>
      <c r="K19" s="10" t="s">
        <v>51</v>
      </c>
      <c r="L19" s="10" t="s">
        <v>52</v>
      </c>
      <c r="M19" s="16">
        <f>(D29+D79+D94+D102)/4</f>
        <v>1.25</v>
      </c>
      <c r="N19" s="16">
        <f>(M19 - 0.95) / 0.75</f>
        <v>0.4</v>
      </c>
      <c r="O19" s="10"/>
      <c r="P19" s="10"/>
      <c r="Q19" s="10"/>
      <c r="R19" s="16"/>
      <c r="S19" s="16"/>
      <c r="T19" s="16"/>
      <c r="U19" s="16"/>
      <c r="V19" s="16"/>
    </row>
    <row r="20">
      <c r="B20" s="11">
        <v>14.0</v>
      </c>
      <c r="C20" s="12" t="s">
        <v>53</v>
      </c>
      <c r="D20" s="13">
        <v>0.0</v>
      </c>
      <c r="J20" s="17"/>
      <c r="K20" s="10" t="s">
        <v>54</v>
      </c>
      <c r="L20" s="10" t="s">
        <v>55</v>
      </c>
      <c r="M20" s="16">
        <f>(D13+D65+D74+D89)/4</f>
        <v>0.5</v>
      </c>
      <c r="N20" s="16">
        <f>(M20 - 0.47) / 0.47</f>
        <v>0.06382978723</v>
      </c>
      <c r="O20" s="10"/>
      <c r="P20" s="10"/>
      <c r="Q20" s="10"/>
      <c r="R20" s="16"/>
      <c r="S20" s="16"/>
      <c r="T20" s="16"/>
      <c r="U20" s="16"/>
      <c r="V20" s="16"/>
    </row>
    <row r="21">
      <c r="B21" s="11">
        <v>15.0</v>
      </c>
      <c r="C21" s="12" t="s">
        <v>56</v>
      </c>
      <c r="D21" s="13">
        <v>1.0</v>
      </c>
      <c r="J21" s="17"/>
      <c r="K21" s="10" t="s">
        <v>57</v>
      </c>
      <c r="L21" s="10" t="s">
        <v>58</v>
      </c>
      <c r="M21" s="16">
        <f>(D24+D46+D82+D104)/4</f>
        <v>1.25</v>
      </c>
      <c r="N21" s="16">
        <f>(M21 - 0.77) / 0.68</f>
        <v>0.7058823529</v>
      </c>
      <c r="O21" s="10"/>
      <c r="P21" s="10"/>
      <c r="Q21" s="10"/>
      <c r="R21" s="16"/>
      <c r="S21" s="16"/>
      <c r="T21" s="16"/>
      <c r="U21" s="16"/>
      <c r="V21" s="16"/>
    </row>
    <row r="22">
      <c r="B22" s="11">
        <v>16.0</v>
      </c>
      <c r="C22" s="12" t="s">
        <v>59</v>
      </c>
      <c r="D22" s="13">
        <v>0.0</v>
      </c>
      <c r="J22" s="17"/>
      <c r="K22" s="10" t="s">
        <v>60</v>
      </c>
      <c r="L22" s="10" t="s">
        <v>61</v>
      </c>
      <c r="M22" s="16">
        <f>(D20+D40+D80+D97)/4</f>
        <v>0.5</v>
      </c>
      <c r="N22" s="16">
        <f>(M22 - 0.7) / 0.61</f>
        <v>-0.3278688525</v>
      </c>
      <c r="O22" s="10"/>
      <c r="P22" s="10"/>
      <c r="Q22" s="10"/>
      <c r="R22" s="16"/>
      <c r="S22" s="16"/>
      <c r="T22" s="16"/>
      <c r="U22" s="16"/>
      <c r="V22" s="16"/>
    </row>
    <row r="23">
      <c r="B23" s="11">
        <v>17.0</v>
      </c>
      <c r="C23" s="12" t="s">
        <v>62</v>
      </c>
      <c r="D23" s="13">
        <v>0.0</v>
      </c>
      <c r="J23" s="17"/>
      <c r="K23" s="10" t="s">
        <v>63</v>
      </c>
      <c r="L23" s="10" t="s">
        <v>64</v>
      </c>
      <c r="M23" s="16">
        <f>(D38+D50+D68+D105)/4</f>
        <v>1.75</v>
      </c>
      <c r="N23" s="16">
        <f>(M23 - 0.85) / 0.76</f>
        <v>1.184210526</v>
      </c>
      <c r="O23" s="10"/>
      <c r="P23" s="10"/>
      <c r="Q23" s="10"/>
      <c r="R23" s="16"/>
      <c r="S23" s="16"/>
      <c r="T23" s="16"/>
      <c r="U23" s="16"/>
      <c r="V23" s="16"/>
    </row>
    <row r="24">
      <c r="B24" s="11">
        <v>18.0</v>
      </c>
      <c r="C24" s="12" t="s">
        <v>65</v>
      </c>
      <c r="D24" s="13">
        <v>1.0</v>
      </c>
      <c r="J24" s="15" t="s">
        <v>66</v>
      </c>
      <c r="K24" s="10" t="s">
        <v>67</v>
      </c>
      <c r="L24" s="10" t="s">
        <v>68</v>
      </c>
      <c r="M24" s="16">
        <f>(D42+D51+D57+D89)/4</f>
        <v>2</v>
      </c>
      <c r="N24" s="16">
        <f>(M24 - 1.43) / 0.8</f>
        <v>0.7125</v>
      </c>
      <c r="O24" s="10"/>
      <c r="P24" s="10"/>
      <c r="Q24" s="10"/>
      <c r="R24" s="16"/>
      <c r="S24" s="16"/>
      <c r="T24" s="16"/>
      <c r="U24" s="16"/>
      <c r="V24" s="16"/>
    </row>
    <row r="25">
      <c r="B25" s="11">
        <v>19.0</v>
      </c>
      <c r="C25" s="12" t="s">
        <v>69</v>
      </c>
      <c r="D25" s="13">
        <v>1.0</v>
      </c>
      <c r="J25" s="17"/>
      <c r="K25" s="10" t="s">
        <v>70</v>
      </c>
      <c r="L25" s="10" t="s">
        <v>71</v>
      </c>
      <c r="M25" s="16">
        <f>(D8+D11+D12+D14)/4</f>
        <v>2.5</v>
      </c>
      <c r="N25" s="16">
        <f>(M25 - 1.12) / 0.78</f>
        <v>1.769230769</v>
      </c>
      <c r="O25" s="10"/>
      <c r="P25" s="10"/>
      <c r="Q25" s="10"/>
      <c r="R25" s="16"/>
      <c r="S25" s="16"/>
      <c r="T25" s="16"/>
      <c r="U25" s="16"/>
      <c r="V25" s="16"/>
    </row>
    <row r="26">
      <c r="B26" s="11">
        <v>20.0</v>
      </c>
      <c r="C26" s="12" t="s">
        <v>72</v>
      </c>
      <c r="D26" s="13">
        <v>2.0</v>
      </c>
      <c r="J26" s="17"/>
      <c r="K26" s="10" t="s">
        <v>73</v>
      </c>
      <c r="L26" s="10" t="s">
        <v>74</v>
      </c>
      <c r="M26" s="16">
        <f>(D30+D66+D77+D95)/4</f>
        <v>0.5</v>
      </c>
      <c r="N26" s="16">
        <f>(M26 - 0.77) / 0.64</f>
        <v>-0.421875</v>
      </c>
      <c r="O26" s="10"/>
      <c r="P26" s="10"/>
      <c r="Q26" s="10"/>
      <c r="R26" s="16"/>
      <c r="S26" s="16"/>
      <c r="T26" s="16"/>
      <c r="U26" s="16"/>
      <c r="V26" s="16"/>
    </row>
    <row r="27">
      <c r="B27" s="11">
        <v>21.0</v>
      </c>
      <c r="C27" s="12" t="s">
        <v>75</v>
      </c>
      <c r="D27" s="13">
        <v>1.0</v>
      </c>
      <c r="J27" s="17"/>
      <c r="K27" s="8" t="s">
        <v>76</v>
      </c>
      <c r="L27" s="8" t="s">
        <v>77</v>
      </c>
      <c r="M27" s="18">
        <f>((3-D99)+(3-D100)+(3-D102)+(3-D104))/4</f>
        <v>2.25</v>
      </c>
      <c r="N27" s="16">
        <f>(M27 - 1.12) / 0.72</f>
        <v>1.569444444</v>
      </c>
      <c r="O27" s="10"/>
      <c r="P27" s="10"/>
      <c r="Q27" s="10"/>
      <c r="R27" s="16"/>
      <c r="S27" s="16"/>
      <c r="T27" s="16"/>
      <c r="U27" s="16"/>
      <c r="V27" s="16"/>
    </row>
    <row r="28">
      <c r="B28" s="11">
        <v>22.0</v>
      </c>
      <c r="C28" s="12" t="s">
        <v>78</v>
      </c>
      <c r="D28" s="13">
        <v>2.0</v>
      </c>
      <c r="J28" s="17"/>
      <c r="K28" s="10" t="s">
        <v>79</v>
      </c>
      <c r="L28" s="10" t="s">
        <v>80</v>
      </c>
      <c r="M28" s="16">
        <f>(D19+D22+D27+D69)/4</f>
        <v>1</v>
      </c>
      <c r="N28" s="16">
        <f>(M28 - 1.19) / 0.59</f>
        <v>-0.3220338983</v>
      </c>
      <c r="O28" s="10"/>
      <c r="P28" s="10"/>
      <c r="Q28" s="10"/>
      <c r="R28" s="16"/>
      <c r="S28" s="16"/>
      <c r="T28" s="16"/>
      <c r="U28" s="16"/>
      <c r="V28" s="16"/>
    </row>
    <row r="29">
      <c r="B29" s="11">
        <v>23.0</v>
      </c>
      <c r="C29" s="12" t="s">
        <v>81</v>
      </c>
      <c r="D29" s="13">
        <v>0.0</v>
      </c>
      <c r="J29" s="15" t="s">
        <v>82</v>
      </c>
      <c r="K29" s="10" t="s">
        <v>83</v>
      </c>
      <c r="L29" s="10" t="s">
        <v>84</v>
      </c>
      <c r="M29" s="16">
        <f>(D16+D28+D63+D91)/4</f>
        <v>2</v>
      </c>
      <c r="N29" s="16">
        <f>(M29 - 1.17) / 0.81</f>
        <v>1.024691358</v>
      </c>
      <c r="O29" s="10"/>
      <c r="P29" s="10"/>
      <c r="Q29" s="10"/>
      <c r="R29" s="16"/>
      <c r="S29" s="16"/>
      <c r="T29" s="16"/>
      <c r="U29" s="16"/>
      <c r="V29" s="16"/>
    </row>
    <row r="30">
      <c r="B30" s="11">
        <v>24.0</v>
      </c>
      <c r="C30" s="12" t="s">
        <v>85</v>
      </c>
      <c r="D30" s="13">
        <v>2.0</v>
      </c>
      <c r="J30" s="17"/>
      <c r="K30" s="10" t="s">
        <v>86</v>
      </c>
      <c r="L30" s="10" t="s">
        <v>87</v>
      </c>
      <c r="M30" s="16">
        <f>(D21+D37+D56+D98)/4</f>
        <v>0.75</v>
      </c>
      <c r="N30" s="16">
        <f>(M30 - 0.79) / 0.58</f>
        <v>-0.06896551724</v>
      </c>
      <c r="O30" s="10"/>
      <c r="P30" s="10"/>
      <c r="Q30" s="10"/>
      <c r="R30" s="16"/>
      <c r="S30" s="16"/>
      <c r="T30" s="16"/>
      <c r="U30" s="16"/>
      <c r="V30" s="16"/>
    </row>
    <row r="31">
      <c r="B31" s="11">
        <v>25.0</v>
      </c>
      <c r="C31" s="12" t="s">
        <v>88</v>
      </c>
      <c r="D31" s="13">
        <v>1.0</v>
      </c>
      <c r="J31" s="17"/>
      <c r="K31" s="10" t="s">
        <v>89</v>
      </c>
      <c r="L31" s="10" t="s">
        <v>90</v>
      </c>
      <c r="M31" s="16">
        <f>(D40+D53+D61+D94)/4</f>
        <v>1.25</v>
      </c>
      <c r="N31" s="16">
        <f>(M31 - 0.77) / 0.67</f>
        <v>0.7164179104</v>
      </c>
      <c r="O31" s="10"/>
      <c r="P31" s="10"/>
      <c r="Q31" s="10"/>
      <c r="R31" s="16"/>
      <c r="S31" s="16"/>
      <c r="T31" s="16"/>
      <c r="U31" s="16"/>
      <c r="V31" s="16"/>
    </row>
    <row r="32">
      <c r="B32" s="11">
        <v>26.0</v>
      </c>
      <c r="C32" s="12" t="s">
        <v>91</v>
      </c>
      <c r="D32" s="13">
        <v>0.0</v>
      </c>
      <c r="K32" s="1"/>
      <c r="L32" s="1"/>
    </row>
    <row r="33">
      <c r="B33" s="11">
        <v>27.0</v>
      </c>
      <c r="C33" s="12" t="s">
        <v>92</v>
      </c>
      <c r="D33" s="13">
        <v>3.0</v>
      </c>
      <c r="K33" s="1"/>
      <c r="L33" s="1"/>
    </row>
    <row r="34">
      <c r="B34" s="11">
        <v>28.0</v>
      </c>
      <c r="C34" s="12" t="s">
        <v>93</v>
      </c>
      <c r="D34" s="13">
        <v>1.0</v>
      </c>
      <c r="K34" s="1"/>
      <c r="L34" s="1"/>
    </row>
    <row r="35">
      <c r="B35" s="11">
        <v>29.0</v>
      </c>
      <c r="C35" s="12" t="s">
        <v>94</v>
      </c>
      <c r="D35" s="13">
        <v>1.0</v>
      </c>
      <c r="K35" s="1"/>
      <c r="L35" s="1"/>
    </row>
    <row r="36">
      <c r="B36" s="11">
        <v>30.0</v>
      </c>
      <c r="C36" s="12" t="s">
        <v>95</v>
      </c>
      <c r="D36" s="13">
        <v>0.0</v>
      </c>
      <c r="K36" s="1"/>
      <c r="L36" s="1"/>
    </row>
    <row r="37">
      <c r="B37" s="11">
        <v>31.0</v>
      </c>
      <c r="C37" s="12" t="s">
        <v>96</v>
      </c>
      <c r="D37" s="13">
        <v>1.0</v>
      </c>
      <c r="K37" s="1"/>
      <c r="L37" s="1"/>
    </row>
    <row r="38">
      <c r="B38" s="11">
        <v>32.0</v>
      </c>
      <c r="C38" s="12" t="s">
        <v>97</v>
      </c>
      <c r="D38" s="13">
        <v>0.0</v>
      </c>
      <c r="K38" s="1"/>
      <c r="L38" s="1"/>
    </row>
    <row r="39">
      <c r="B39" s="11">
        <v>33.0</v>
      </c>
      <c r="C39" s="12" t="s">
        <v>98</v>
      </c>
      <c r="D39" s="13">
        <v>1.0</v>
      </c>
      <c r="K39" s="1"/>
      <c r="L39" s="1"/>
    </row>
    <row r="40">
      <c r="B40" s="11">
        <v>34.0</v>
      </c>
      <c r="C40" s="12" t="s">
        <v>99</v>
      </c>
      <c r="D40" s="13">
        <v>1.0</v>
      </c>
      <c r="K40" s="1"/>
      <c r="L40" s="1"/>
    </row>
    <row r="41">
      <c r="B41" s="11">
        <v>35.0</v>
      </c>
      <c r="C41" s="12" t="s">
        <v>100</v>
      </c>
      <c r="D41" s="13">
        <v>3.0</v>
      </c>
      <c r="K41" s="1"/>
      <c r="L41" s="1"/>
    </row>
    <row r="42">
      <c r="B42" s="11">
        <v>36.0</v>
      </c>
      <c r="C42" s="12" t="s">
        <v>101</v>
      </c>
      <c r="D42" s="13">
        <v>2.0</v>
      </c>
      <c r="K42" s="1"/>
      <c r="L42" s="1"/>
    </row>
    <row r="43">
      <c r="B43" s="11">
        <v>37.0</v>
      </c>
      <c r="C43" s="12" t="s">
        <v>102</v>
      </c>
      <c r="D43" s="13">
        <v>1.0</v>
      </c>
      <c r="K43" s="1"/>
      <c r="L43" s="1"/>
    </row>
    <row r="44">
      <c r="B44" s="11">
        <v>38.0</v>
      </c>
      <c r="C44" s="12" t="s">
        <v>103</v>
      </c>
      <c r="D44" s="13">
        <v>2.0</v>
      </c>
      <c r="K44" s="1"/>
      <c r="L44" s="1"/>
    </row>
    <row r="45">
      <c r="B45" s="11">
        <v>39.0</v>
      </c>
      <c r="C45" s="12" t="s">
        <v>104</v>
      </c>
      <c r="D45" s="13">
        <v>1.0</v>
      </c>
      <c r="K45" s="1"/>
      <c r="L45" s="1"/>
    </row>
    <row r="46">
      <c r="B46" s="11">
        <v>40.0</v>
      </c>
      <c r="C46" s="12" t="s">
        <v>105</v>
      </c>
      <c r="D46" s="13">
        <v>2.0</v>
      </c>
      <c r="K46" s="1"/>
      <c r="L46" s="1"/>
    </row>
    <row r="47">
      <c r="B47" s="11">
        <v>41.0</v>
      </c>
      <c r="C47" s="12" t="s">
        <v>106</v>
      </c>
      <c r="D47" s="13">
        <v>0.0</v>
      </c>
      <c r="K47" s="1"/>
      <c r="L47" s="1"/>
    </row>
    <row r="48">
      <c r="B48" s="11">
        <v>42.0</v>
      </c>
      <c r="C48" s="12" t="s">
        <v>107</v>
      </c>
      <c r="D48" s="13">
        <v>1.0</v>
      </c>
      <c r="K48" s="1"/>
      <c r="L48" s="1"/>
    </row>
    <row r="49">
      <c r="B49" s="11">
        <v>43.0</v>
      </c>
      <c r="C49" s="12" t="s">
        <v>108</v>
      </c>
      <c r="D49" s="13">
        <v>1.0</v>
      </c>
      <c r="K49" s="1"/>
      <c r="L49" s="1"/>
    </row>
    <row r="50">
      <c r="B50" s="11">
        <v>44.0</v>
      </c>
      <c r="C50" s="12" t="s">
        <v>109</v>
      </c>
      <c r="D50" s="13">
        <v>3.0</v>
      </c>
      <c r="K50" s="1"/>
      <c r="L50" s="1"/>
    </row>
    <row r="51">
      <c r="B51" s="11">
        <v>45.0</v>
      </c>
      <c r="C51" s="12" t="s">
        <v>110</v>
      </c>
      <c r="D51" s="13">
        <v>2.0</v>
      </c>
      <c r="K51" s="1"/>
      <c r="L51" s="1"/>
    </row>
    <row r="52">
      <c r="B52" s="11">
        <v>46.0</v>
      </c>
      <c r="C52" s="12" t="s">
        <v>111</v>
      </c>
      <c r="D52" s="13">
        <v>2.0</v>
      </c>
      <c r="K52" s="1"/>
      <c r="L52" s="1"/>
    </row>
    <row r="53">
      <c r="B53" s="11">
        <v>47.0</v>
      </c>
      <c r="C53" s="12" t="s">
        <v>112</v>
      </c>
      <c r="D53" s="13">
        <v>1.0</v>
      </c>
      <c r="K53" s="1"/>
      <c r="L53" s="1"/>
    </row>
    <row r="54">
      <c r="B54" s="11">
        <v>48.0</v>
      </c>
      <c r="C54" s="12" t="s">
        <v>113</v>
      </c>
      <c r="D54" s="13">
        <v>2.0</v>
      </c>
      <c r="K54" s="1"/>
      <c r="L54" s="1"/>
    </row>
    <row r="55">
      <c r="B55" s="11">
        <v>49.0</v>
      </c>
      <c r="C55" s="12" t="s">
        <v>114</v>
      </c>
      <c r="D55" s="13">
        <v>3.0</v>
      </c>
      <c r="K55" s="1"/>
      <c r="L55" s="1"/>
    </row>
    <row r="56">
      <c r="B56" s="11">
        <v>50.0</v>
      </c>
      <c r="C56" s="12" t="s">
        <v>115</v>
      </c>
      <c r="D56" s="13">
        <v>1.0</v>
      </c>
      <c r="K56" s="1"/>
      <c r="L56" s="1"/>
    </row>
    <row r="57">
      <c r="B57" s="11">
        <v>51.0</v>
      </c>
      <c r="C57" s="12" t="s">
        <v>116</v>
      </c>
      <c r="D57" s="13">
        <v>2.0</v>
      </c>
      <c r="K57" s="1"/>
      <c r="L57" s="1"/>
    </row>
    <row r="58">
      <c r="B58" s="11">
        <v>52.0</v>
      </c>
      <c r="C58" s="12" t="s">
        <v>117</v>
      </c>
      <c r="D58" s="13">
        <v>2.0</v>
      </c>
      <c r="K58" s="1"/>
      <c r="L58" s="1"/>
    </row>
    <row r="59">
      <c r="B59" s="11">
        <v>53.0</v>
      </c>
      <c r="C59" s="12" t="s">
        <v>118</v>
      </c>
      <c r="D59" s="13">
        <v>1.0</v>
      </c>
      <c r="K59" s="1"/>
      <c r="L59" s="1"/>
    </row>
    <row r="60">
      <c r="B60" s="11">
        <v>54.0</v>
      </c>
      <c r="C60" s="12" t="s">
        <v>119</v>
      </c>
      <c r="D60" s="13">
        <v>0.0</v>
      </c>
      <c r="K60" s="1"/>
      <c r="L60" s="1"/>
    </row>
    <row r="61">
      <c r="B61" s="11">
        <v>55.0</v>
      </c>
      <c r="C61" s="12" t="s">
        <v>120</v>
      </c>
      <c r="D61" s="13">
        <v>1.0</v>
      </c>
      <c r="K61" s="1"/>
      <c r="L61" s="1"/>
    </row>
    <row r="62">
      <c r="B62" s="11">
        <v>56.0</v>
      </c>
      <c r="C62" s="12" t="s">
        <v>121</v>
      </c>
      <c r="D62" s="13">
        <v>3.0</v>
      </c>
      <c r="K62" s="1"/>
      <c r="L62" s="1"/>
    </row>
    <row r="63">
      <c r="B63" s="11">
        <v>57.0</v>
      </c>
      <c r="C63" s="12" t="s">
        <v>122</v>
      </c>
      <c r="D63" s="13">
        <v>2.0</v>
      </c>
      <c r="K63" s="1"/>
      <c r="L63" s="1"/>
    </row>
    <row r="64">
      <c r="B64" s="11">
        <v>58.0</v>
      </c>
      <c r="C64" s="12" t="s">
        <v>123</v>
      </c>
      <c r="D64" s="13">
        <v>0.0</v>
      </c>
      <c r="K64" s="1"/>
      <c r="L64" s="1"/>
    </row>
    <row r="65">
      <c r="B65" s="11">
        <v>59.0</v>
      </c>
      <c r="C65" s="12" t="s">
        <v>124</v>
      </c>
      <c r="D65" s="13">
        <v>0.0</v>
      </c>
      <c r="K65" s="1"/>
      <c r="L65" s="1"/>
    </row>
    <row r="66">
      <c r="B66" s="11">
        <v>60.0</v>
      </c>
      <c r="C66" s="12" t="s">
        <v>125</v>
      </c>
      <c r="D66" s="13">
        <v>0.0</v>
      </c>
      <c r="K66" s="1"/>
      <c r="L66" s="1"/>
    </row>
    <row r="67">
      <c r="B67" s="11">
        <v>61.0</v>
      </c>
      <c r="C67" s="12" t="s">
        <v>126</v>
      </c>
      <c r="D67" s="13">
        <v>1.0</v>
      </c>
      <c r="K67" s="1"/>
      <c r="L67" s="1"/>
    </row>
    <row r="68">
      <c r="B68" s="11">
        <v>62.0</v>
      </c>
      <c r="C68" s="12" t="s">
        <v>127</v>
      </c>
      <c r="D68" s="13">
        <v>2.0</v>
      </c>
      <c r="K68" s="1"/>
      <c r="L68" s="1"/>
    </row>
    <row r="69">
      <c r="B69" s="11">
        <v>63.0</v>
      </c>
      <c r="C69" s="12" t="s">
        <v>128</v>
      </c>
      <c r="D69" s="13">
        <v>1.0</v>
      </c>
      <c r="K69" s="1"/>
      <c r="L69" s="1"/>
    </row>
    <row r="70">
      <c r="B70" s="11">
        <v>64.0</v>
      </c>
      <c r="C70" s="12" t="s">
        <v>129</v>
      </c>
      <c r="D70" s="13">
        <v>2.0</v>
      </c>
      <c r="K70" s="1"/>
      <c r="L70" s="1"/>
    </row>
    <row r="71">
      <c r="B71" s="11">
        <v>65.0</v>
      </c>
      <c r="C71" s="12" t="s">
        <v>130</v>
      </c>
      <c r="D71" s="13">
        <v>0.0</v>
      </c>
      <c r="K71" s="1"/>
      <c r="L71" s="1"/>
    </row>
    <row r="72">
      <c r="B72" s="11">
        <v>66.0</v>
      </c>
      <c r="C72" s="12" t="s">
        <v>131</v>
      </c>
      <c r="D72" s="13">
        <v>2.0</v>
      </c>
      <c r="K72" s="1"/>
      <c r="L72" s="1"/>
    </row>
    <row r="73">
      <c r="B73" s="11">
        <v>67.0</v>
      </c>
      <c r="C73" s="12" t="s">
        <v>132</v>
      </c>
      <c r="D73" s="13">
        <v>1.0</v>
      </c>
      <c r="K73" s="1"/>
      <c r="L73" s="1"/>
    </row>
    <row r="74">
      <c r="B74" s="11">
        <v>68.0</v>
      </c>
      <c r="C74" s="12" t="s">
        <v>133</v>
      </c>
      <c r="D74" s="13">
        <v>0.0</v>
      </c>
      <c r="K74" s="1"/>
      <c r="L74" s="1"/>
    </row>
    <row r="75">
      <c r="B75" s="11">
        <v>69.0</v>
      </c>
      <c r="C75" s="12" t="s">
        <v>134</v>
      </c>
      <c r="D75" s="13">
        <v>2.0</v>
      </c>
      <c r="K75" s="1"/>
      <c r="L75" s="1"/>
    </row>
    <row r="76">
      <c r="B76" s="11">
        <v>70.0</v>
      </c>
      <c r="C76" s="12" t="s">
        <v>135</v>
      </c>
      <c r="D76" s="13">
        <v>1.0</v>
      </c>
      <c r="K76" s="1"/>
      <c r="L76" s="1"/>
    </row>
    <row r="77">
      <c r="B77" s="11">
        <v>71.0</v>
      </c>
      <c r="C77" s="12" t="s">
        <v>136</v>
      </c>
      <c r="D77" s="13">
        <v>0.0</v>
      </c>
      <c r="K77" s="1"/>
      <c r="L77" s="1"/>
    </row>
    <row r="78">
      <c r="B78" s="11">
        <v>72.0</v>
      </c>
      <c r="C78" s="12" t="s">
        <v>137</v>
      </c>
      <c r="D78" s="13">
        <v>1.0</v>
      </c>
      <c r="K78" s="1"/>
      <c r="L78" s="1"/>
    </row>
    <row r="79">
      <c r="B79" s="11">
        <v>73.0</v>
      </c>
      <c r="C79" s="12" t="s">
        <v>138</v>
      </c>
      <c r="D79" s="13">
        <v>2.0</v>
      </c>
      <c r="K79" s="1"/>
      <c r="L79" s="1"/>
    </row>
    <row r="80">
      <c r="B80" s="11">
        <v>74.0</v>
      </c>
      <c r="C80" s="12" t="s">
        <v>139</v>
      </c>
      <c r="D80" s="13">
        <v>1.0</v>
      </c>
      <c r="K80" s="1"/>
      <c r="L80" s="1"/>
    </row>
    <row r="81">
      <c r="B81" s="11">
        <v>75.0</v>
      </c>
      <c r="C81" s="12" t="s">
        <v>140</v>
      </c>
      <c r="D81" s="13">
        <v>2.0</v>
      </c>
      <c r="K81" s="1"/>
      <c r="L81" s="1"/>
    </row>
    <row r="82">
      <c r="B82" s="11">
        <v>76.0</v>
      </c>
      <c r="C82" s="12" t="s">
        <v>141</v>
      </c>
      <c r="D82" s="13">
        <v>1.0</v>
      </c>
      <c r="K82" s="1"/>
      <c r="L82" s="1"/>
    </row>
    <row r="83">
      <c r="B83" s="11">
        <v>77.0</v>
      </c>
      <c r="C83" s="12" t="s">
        <v>142</v>
      </c>
      <c r="D83" s="13">
        <v>2.0</v>
      </c>
      <c r="K83" s="1"/>
      <c r="L83" s="1"/>
    </row>
    <row r="84">
      <c r="B84" s="11">
        <v>78.0</v>
      </c>
      <c r="C84" s="12" t="s">
        <v>143</v>
      </c>
      <c r="D84" s="13">
        <v>2.0</v>
      </c>
      <c r="K84" s="1"/>
      <c r="L84" s="1"/>
    </row>
    <row r="85">
      <c r="B85" s="11">
        <v>79.0</v>
      </c>
      <c r="C85" s="12" t="s">
        <v>144</v>
      </c>
      <c r="D85" s="13">
        <v>3.0</v>
      </c>
      <c r="K85" s="1"/>
      <c r="L85" s="1"/>
    </row>
    <row r="86">
      <c r="B86" s="11">
        <v>80.0</v>
      </c>
      <c r="C86" s="12" t="s">
        <v>145</v>
      </c>
      <c r="D86" s="13">
        <v>1.0</v>
      </c>
      <c r="K86" s="1"/>
      <c r="L86" s="1"/>
    </row>
    <row r="87">
      <c r="B87" s="11">
        <v>81.0</v>
      </c>
      <c r="C87" s="12" t="s">
        <v>146</v>
      </c>
      <c r="D87" s="13">
        <v>1.0</v>
      </c>
      <c r="K87" s="1"/>
      <c r="L87" s="1"/>
    </row>
    <row r="88">
      <c r="B88" s="11">
        <v>82.0</v>
      </c>
      <c r="C88" s="12" t="s">
        <v>147</v>
      </c>
      <c r="D88" s="13">
        <v>2.0</v>
      </c>
      <c r="K88" s="1"/>
      <c r="L88" s="1"/>
    </row>
    <row r="89">
      <c r="B89" s="11">
        <v>83.0</v>
      </c>
      <c r="C89" s="12" t="s">
        <v>148</v>
      </c>
      <c r="D89" s="13">
        <v>2.0</v>
      </c>
      <c r="K89" s="1"/>
      <c r="L89" s="1"/>
    </row>
    <row r="90">
      <c r="B90" s="11">
        <v>84.0</v>
      </c>
      <c r="C90" s="12" t="s">
        <v>149</v>
      </c>
      <c r="D90" s="13">
        <v>0.0</v>
      </c>
      <c r="K90" s="1"/>
      <c r="L90" s="1"/>
    </row>
    <row r="91">
      <c r="B91" s="11">
        <v>85.0</v>
      </c>
      <c r="C91" s="12" t="s">
        <v>150</v>
      </c>
      <c r="D91" s="13">
        <v>2.0</v>
      </c>
      <c r="K91" s="1"/>
      <c r="L91" s="1"/>
    </row>
    <row r="92">
      <c r="B92" s="11">
        <v>86.0</v>
      </c>
      <c r="C92" s="12" t="s">
        <v>151</v>
      </c>
      <c r="D92" s="13">
        <v>2.0</v>
      </c>
      <c r="K92" s="1"/>
      <c r="L92" s="1"/>
    </row>
    <row r="93">
      <c r="B93" s="11">
        <v>87.0</v>
      </c>
      <c r="C93" s="12" t="s">
        <v>152</v>
      </c>
      <c r="D93" s="13">
        <v>0.0</v>
      </c>
      <c r="K93" s="1"/>
      <c r="L93" s="1"/>
    </row>
    <row r="94">
      <c r="B94" s="11">
        <v>88.0</v>
      </c>
      <c r="C94" s="12" t="s">
        <v>153</v>
      </c>
      <c r="D94" s="13">
        <v>2.0</v>
      </c>
      <c r="K94" s="1"/>
      <c r="L94" s="1"/>
    </row>
    <row r="95">
      <c r="B95" s="11">
        <v>89.0</v>
      </c>
      <c r="C95" s="12" t="s">
        <v>154</v>
      </c>
      <c r="D95" s="13">
        <v>0.0</v>
      </c>
      <c r="K95" s="1"/>
      <c r="L95" s="1"/>
    </row>
    <row r="96">
      <c r="B96" s="11">
        <v>90.0</v>
      </c>
      <c r="C96" s="12" t="s">
        <v>155</v>
      </c>
      <c r="D96" s="13">
        <v>1.0</v>
      </c>
      <c r="K96" s="1"/>
      <c r="L96" s="1"/>
    </row>
    <row r="97">
      <c r="B97" s="11">
        <v>91.0</v>
      </c>
      <c r="C97" s="12" t="s">
        <v>156</v>
      </c>
      <c r="D97" s="13">
        <v>0.0</v>
      </c>
      <c r="K97" s="1"/>
      <c r="L97" s="1"/>
    </row>
    <row r="98">
      <c r="B98" s="11">
        <v>92.0</v>
      </c>
      <c r="C98" s="12" t="s">
        <v>157</v>
      </c>
      <c r="D98" s="13">
        <v>0.0</v>
      </c>
      <c r="K98" s="1"/>
      <c r="L98" s="1"/>
    </row>
    <row r="99">
      <c r="B99" s="11">
        <v>93.0</v>
      </c>
      <c r="C99" s="12" t="s">
        <v>158</v>
      </c>
      <c r="D99" s="13">
        <v>1.0</v>
      </c>
      <c r="K99" s="1"/>
      <c r="L99" s="1"/>
    </row>
    <row r="100">
      <c r="B100" s="11">
        <v>94.0</v>
      </c>
      <c r="C100" s="12" t="s">
        <v>159</v>
      </c>
      <c r="D100" s="13">
        <v>0.0</v>
      </c>
      <c r="K100" s="1"/>
      <c r="L100" s="1"/>
    </row>
    <row r="101">
      <c r="B101" s="11">
        <v>95.0</v>
      </c>
      <c r="C101" s="12" t="s">
        <v>160</v>
      </c>
      <c r="D101" s="13">
        <v>1.0</v>
      </c>
      <c r="K101" s="1"/>
      <c r="L101" s="1"/>
    </row>
    <row r="102">
      <c r="B102" s="11">
        <v>96.0</v>
      </c>
      <c r="C102" s="12" t="s">
        <v>161</v>
      </c>
      <c r="D102" s="13">
        <v>1.0</v>
      </c>
      <c r="K102" s="1"/>
      <c r="L102" s="1"/>
    </row>
    <row r="103">
      <c r="B103" s="11">
        <v>97.0</v>
      </c>
      <c r="C103" s="12" t="s">
        <v>162</v>
      </c>
      <c r="D103" s="13">
        <v>2.0</v>
      </c>
      <c r="K103" s="1"/>
      <c r="L103" s="1"/>
    </row>
    <row r="104">
      <c r="B104" s="11">
        <v>98.0</v>
      </c>
      <c r="C104" s="12" t="s">
        <v>163</v>
      </c>
      <c r="D104" s="13">
        <v>1.0</v>
      </c>
      <c r="K104" s="1"/>
      <c r="L104" s="1"/>
    </row>
    <row r="105">
      <c r="B105" s="11">
        <v>99.0</v>
      </c>
      <c r="C105" s="12" t="s">
        <v>164</v>
      </c>
      <c r="D105" s="13">
        <v>2.0</v>
      </c>
      <c r="K105" s="1"/>
      <c r="L105" s="1"/>
    </row>
    <row r="106">
      <c r="B106" s="19">
        <v>100.0</v>
      </c>
      <c r="C106" s="20" t="s">
        <v>165</v>
      </c>
      <c r="D106" s="21">
        <v>2.0</v>
      </c>
      <c r="K106" s="1"/>
      <c r="L106" s="1"/>
    </row>
    <row r="107">
      <c r="K107" s="1"/>
      <c r="L107" s="1"/>
    </row>
    <row r="108">
      <c r="K108" s="1"/>
      <c r="L108" s="1"/>
    </row>
    <row r="109">
      <c r="K109" s="1"/>
      <c r="L109" s="1"/>
    </row>
    <row r="110">
      <c r="K110" s="1"/>
      <c r="L110" s="1"/>
    </row>
    <row r="111">
      <c r="K111" s="1"/>
      <c r="L111" s="1"/>
    </row>
    <row r="112">
      <c r="K112" s="1"/>
      <c r="L112" s="1"/>
    </row>
    <row r="113">
      <c r="K113" s="1"/>
      <c r="L113" s="1"/>
    </row>
    <row r="114">
      <c r="K114" s="1"/>
      <c r="L114" s="1"/>
    </row>
    <row r="115">
      <c r="K115" s="1"/>
      <c r="L115" s="1"/>
    </row>
    <row r="116">
      <c r="K116" s="1"/>
      <c r="L116" s="1"/>
    </row>
    <row r="117">
      <c r="K117" s="1"/>
      <c r="L117" s="1"/>
    </row>
    <row r="118">
      <c r="K118" s="1"/>
      <c r="L118" s="1"/>
    </row>
    <row r="119">
      <c r="K119" s="1"/>
      <c r="L119" s="1"/>
    </row>
    <row r="120">
      <c r="K120" s="1"/>
      <c r="L120" s="1"/>
    </row>
    <row r="121">
      <c r="K121" s="1"/>
      <c r="L121" s="1"/>
    </row>
    <row r="122">
      <c r="K122" s="1"/>
      <c r="L122" s="1"/>
    </row>
    <row r="123">
      <c r="K123" s="1"/>
      <c r="L123" s="1"/>
    </row>
    <row r="124">
      <c r="K124" s="1"/>
      <c r="L124" s="1"/>
    </row>
    <row r="125">
      <c r="K125" s="1"/>
      <c r="L125" s="1"/>
    </row>
    <row r="126">
      <c r="K126" s="1"/>
      <c r="L126" s="1"/>
    </row>
    <row r="127">
      <c r="K127" s="1"/>
      <c r="L127" s="1"/>
    </row>
    <row r="128">
      <c r="K128" s="1"/>
      <c r="L128" s="1"/>
    </row>
    <row r="129">
      <c r="K129" s="1"/>
      <c r="L129" s="1"/>
    </row>
    <row r="130">
      <c r="K130" s="1"/>
      <c r="L130" s="1"/>
    </row>
    <row r="131">
      <c r="K131" s="1"/>
      <c r="L131" s="1"/>
    </row>
    <row r="132">
      <c r="K132" s="1"/>
      <c r="L132" s="1"/>
    </row>
    <row r="133">
      <c r="K133" s="1"/>
      <c r="L133" s="1"/>
    </row>
    <row r="134">
      <c r="K134" s="1"/>
      <c r="L134" s="1"/>
    </row>
    <row r="135">
      <c r="K135" s="1"/>
      <c r="L135" s="1"/>
    </row>
    <row r="136">
      <c r="K136" s="1"/>
      <c r="L136" s="1"/>
    </row>
    <row r="137">
      <c r="K137" s="1"/>
      <c r="L137" s="1"/>
    </row>
    <row r="138">
      <c r="K138" s="1"/>
      <c r="L138" s="1"/>
    </row>
    <row r="139">
      <c r="K139" s="1"/>
      <c r="L139" s="1"/>
    </row>
    <row r="140">
      <c r="K140" s="1"/>
      <c r="L140" s="1"/>
    </row>
    <row r="141">
      <c r="K141" s="1"/>
      <c r="L141" s="1"/>
    </row>
    <row r="142">
      <c r="K142" s="1"/>
      <c r="L142" s="1"/>
    </row>
    <row r="143">
      <c r="K143" s="1"/>
      <c r="L143" s="1"/>
    </row>
    <row r="144">
      <c r="K144" s="1"/>
      <c r="L144" s="1"/>
    </row>
    <row r="145">
      <c r="K145" s="1"/>
      <c r="L145" s="1"/>
    </row>
    <row r="146">
      <c r="K146" s="1"/>
      <c r="L146" s="1"/>
    </row>
    <row r="147">
      <c r="K147" s="1"/>
      <c r="L147" s="1"/>
    </row>
    <row r="148">
      <c r="K148" s="1"/>
      <c r="L148" s="1"/>
    </row>
    <row r="149">
      <c r="K149" s="1"/>
      <c r="L149" s="1"/>
    </row>
    <row r="150">
      <c r="K150" s="1"/>
      <c r="L150" s="1"/>
    </row>
    <row r="151">
      <c r="K151" s="1"/>
      <c r="L151" s="1"/>
    </row>
    <row r="152">
      <c r="K152" s="1"/>
      <c r="L152" s="1"/>
    </row>
    <row r="153">
      <c r="K153" s="1"/>
      <c r="L153" s="1"/>
    </row>
    <row r="154">
      <c r="K154" s="1"/>
      <c r="L154" s="1"/>
    </row>
    <row r="155">
      <c r="K155" s="1"/>
      <c r="L155" s="1"/>
    </row>
    <row r="156">
      <c r="K156" s="1"/>
      <c r="L156" s="1"/>
    </row>
    <row r="157">
      <c r="K157" s="1"/>
      <c r="L157" s="1"/>
    </row>
    <row r="158">
      <c r="K158" s="1"/>
      <c r="L158" s="1"/>
    </row>
    <row r="159">
      <c r="K159" s="1"/>
      <c r="L159" s="1"/>
    </row>
    <row r="160">
      <c r="K160" s="1"/>
      <c r="L160" s="1"/>
    </row>
    <row r="161">
      <c r="K161" s="1"/>
      <c r="L161" s="1"/>
    </row>
    <row r="162">
      <c r="K162" s="1"/>
      <c r="L162" s="1"/>
    </row>
    <row r="163">
      <c r="K163" s="1"/>
      <c r="L163" s="1"/>
    </row>
    <row r="164">
      <c r="K164" s="1"/>
      <c r="L164" s="1"/>
    </row>
    <row r="165">
      <c r="K165" s="1"/>
      <c r="L165" s="1"/>
    </row>
    <row r="166">
      <c r="K166" s="1"/>
      <c r="L166" s="1"/>
    </row>
    <row r="167">
      <c r="K167" s="1"/>
      <c r="L167" s="1"/>
    </row>
    <row r="168">
      <c r="K168" s="1"/>
      <c r="L168" s="1"/>
    </row>
    <row r="169">
      <c r="K169" s="1"/>
      <c r="L169" s="1"/>
    </row>
    <row r="170">
      <c r="K170" s="1"/>
      <c r="L170" s="1"/>
    </row>
    <row r="171">
      <c r="K171" s="1"/>
      <c r="L171" s="1"/>
    </row>
    <row r="172">
      <c r="K172" s="1"/>
      <c r="L172" s="1"/>
    </row>
    <row r="173">
      <c r="K173" s="1"/>
      <c r="L173" s="1"/>
    </row>
    <row r="174">
      <c r="K174" s="1"/>
      <c r="L174" s="1"/>
    </row>
    <row r="175">
      <c r="K175" s="1"/>
      <c r="L175" s="1"/>
    </row>
    <row r="176">
      <c r="K176" s="1"/>
      <c r="L176" s="1"/>
    </row>
    <row r="177">
      <c r="K177" s="1"/>
      <c r="L177" s="1"/>
    </row>
    <row r="178">
      <c r="K178" s="1"/>
      <c r="L178" s="1"/>
    </row>
    <row r="179">
      <c r="K179" s="1"/>
      <c r="L179" s="1"/>
    </row>
    <row r="180">
      <c r="K180" s="1"/>
      <c r="L180" s="1"/>
    </row>
    <row r="181">
      <c r="K181" s="1"/>
      <c r="L181" s="1"/>
    </row>
    <row r="182">
      <c r="K182" s="1"/>
      <c r="L182" s="1"/>
    </row>
    <row r="183">
      <c r="K183" s="1"/>
      <c r="L183" s="1"/>
    </row>
    <row r="184">
      <c r="K184" s="1"/>
      <c r="L184" s="1"/>
    </row>
    <row r="185">
      <c r="K185" s="1"/>
      <c r="L185" s="1"/>
    </row>
    <row r="186">
      <c r="K186" s="1"/>
      <c r="L186" s="1"/>
    </row>
    <row r="187">
      <c r="K187" s="1"/>
      <c r="L187" s="1"/>
    </row>
    <row r="188">
      <c r="K188" s="1"/>
      <c r="L188" s="1"/>
    </row>
    <row r="189">
      <c r="K189" s="1"/>
      <c r="L189" s="1"/>
    </row>
    <row r="190">
      <c r="K190" s="1"/>
      <c r="L190" s="1"/>
    </row>
    <row r="191">
      <c r="K191" s="1"/>
      <c r="L191" s="1"/>
    </row>
    <row r="192">
      <c r="K192" s="1"/>
      <c r="L192" s="1"/>
    </row>
    <row r="193">
      <c r="K193" s="1"/>
      <c r="L193" s="1"/>
    </row>
    <row r="194">
      <c r="K194" s="1"/>
      <c r="L194" s="1"/>
    </row>
    <row r="195">
      <c r="K195" s="1"/>
      <c r="L195" s="1"/>
    </row>
    <row r="196">
      <c r="K196" s="1"/>
      <c r="L196" s="1"/>
    </row>
    <row r="197">
      <c r="K197" s="1"/>
      <c r="L197" s="1"/>
    </row>
    <row r="198">
      <c r="K198" s="1"/>
      <c r="L198" s="1"/>
    </row>
    <row r="199">
      <c r="K199" s="1"/>
      <c r="L199" s="1"/>
    </row>
    <row r="200">
      <c r="K200" s="1"/>
      <c r="L200" s="1"/>
    </row>
    <row r="201">
      <c r="K201" s="1"/>
      <c r="L201" s="1"/>
    </row>
    <row r="202">
      <c r="K202" s="1"/>
      <c r="L202" s="1"/>
    </row>
    <row r="203">
      <c r="K203" s="1"/>
      <c r="L203" s="1"/>
    </row>
    <row r="204">
      <c r="K204" s="1"/>
      <c r="L204" s="1"/>
    </row>
    <row r="205">
      <c r="K205" s="1"/>
      <c r="L205" s="1"/>
    </row>
    <row r="206">
      <c r="K206" s="1"/>
      <c r="L206" s="1"/>
    </row>
    <row r="207">
      <c r="K207" s="1"/>
      <c r="L207" s="1"/>
    </row>
    <row r="208">
      <c r="K208" s="1"/>
      <c r="L208" s="1"/>
    </row>
    <row r="209">
      <c r="K209" s="1"/>
      <c r="L209" s="1"/>
    </row>
    <row r="210">
      <c r="K210" s="1"/>
      <c r="L210" s="1"/>
    </row>
    <row r="211">
      <c r="K211" s="1"/>
      <c r="L211" s="1"/>
    </row>
    <row r="212">
      <c r="K212" s="1"/>
      <c r="L212" s="1"/>
    </row>
    <row r="213">
      <c r="K213" s="1"/>
      <c r="L213" s="1"/>
    </row>
    <row r="214">
      <c r="K214" s="1"/>
      <c r="L214" s="1"/>
    </row>
    <row r="215">
      <c r="K215" s="1"/>
      <c r="L215" s="1"/>
    </row>
    <row r="216">
      <c r="K216" s="1"/>
      <c r="L216" s="1"/>
    </row>
    <row r="217">
      <c r="K217" s="1"/>
      <c r="L217" s="1"/>
    </row>
    <row r="218">
      <c r="K218" s="1"/>
      <c r="L218" s="1"/>
    </row>
    <row r="219">
      <c r="K219" s="1"/>
      <c r="L219" s="1"/>
    </row>
    <row r="220">
      <c r="K220" s="1"/>
      <c r="L220" s="1"/>
    </row>
    <row r="221">
      <c r="K221" s="1"/>
      <c r="L221" s="1"/>
    </row>
    <row r="222">
      <c r="K222" s="1"/>
      <c r="L222" s="1"/>
    </row>
    <row r="223">
      <c r="K223" s="1"/>
      <c r="L223" s="1"/>
    </row>
    <row r="224">
      <c r="K224" s="1"/>
      <c r="L224" s="1"/>
    </row>
    <row r="225">
      <c r="K225" s="1"/>
      <c r="L225" s="1"/>
    </row>
    <row r="226">
      <c r="K226" s="1"/>
      <c r="L226" s="1"/>
    </row>
    <row r="227">
      <c r="K227" s="1"/>
      <c r="L227" s="1"/>
    </row>
    <row r="228">
      <c r="K228" s="1"/>
      <c r="L228" s="1"/>
    </row>
    <row r="229">
      <c r="K229" s="1"/>
      <c r="L229" s="1"/>
    </row>
    <row r="230">
      <c r="K230" s="1"/>
      <c r="L230" s="1"/>
    </row>
    <row r="231">
      <c r="K231" s="1"/>
      <c r="L231" s="1"/>
    </row>
    <row r="232">
      <c r="K232" s="1"/>
      <c r="L232" s="1"/>
    </row>
    <row r="233">
      <c r="K233" s="1"/>
      <c r="L233" s="1"/>
    </row>
    <row r="234">
      <c r="K234" s="1"/>
      <c r="L234" s="1"/>
    </row>
    <row r="235">
      <c r="K235" s="1"/>
      <c r="L235" s="1"/>
    </row>
    <row r="236">
      <c r="K236" s="1"/>
      <c r="L236" s="1"/>
    </row>
    <row r="237">
      <c r="K237" s="1"/>
      <c r="L237" s="1"/>
    </row>
    <row r="238">
      <c r="K238" s="1"/>
      <c r="L238" s="1"/>
    </row>
    <row r="239">
      <c r="K239" s="1"/>
      <c r="L239" s="1"/>
    </row>
    <row r="240">
      <c r="K240" s="1"/>
      <c r="L240" s="1"/>
    </row>
    <row r="241">
      <c r="K241" s="1"/>
      <c r="L241" s="1"/>
    </row>
    <row r="242">
      <c r="K242" s="1"/>
      <c r="L242" s="1"/>
    </row>
    <row r="243">
      <c r="K243" s="1"/>
      <c r="L243" s="1"/>
    </row>
    <row r="244">
      <c r="K244" s="1"/>
      <c r="L244" s="1"/>
    </row>
    <row r="245">
      <c r="K245" s="1"/>
      <c r="L245" s="1"/>
    </row>
    <row r="246">
      <c r="K246" s="1"/>
      <c r="L246" s="1"/>
    </row>
    <row r="247">
      <c r="K247" s="1"/>
      <c r="L247" s="1"/>
    </row>
    <row r="248">
      <c r="K248" s="1"/>
      <c r="L248" s="1"/>
    </row>
    <row r="249">
      <c r="K249" s="1"/>
      <c r="L249" s="1"/>
    </row>
    <row r="250">
      <c r="K250" s="1"/>
      <c r="L250" s="1"/>
    </row>
    <row r="251">
      <c r="K251" s="1"/>
      <c r="L251" s="1"/>
    </row>
    <row r="252">
      <c r="K252" s="1"/>
      <c r="L252" s="1"/>
    </row>
    <row r="253">
      <c r="K253" s="1"/>
      <c r="L253" s="1"/>
    </row>
    <row r="254">
      <c r="K254" s="1"/>
      <c r="L254" s="1"/>
    </row>
    <row r="255">
      <c r="K255" s="1"/>
      <c r="L255" s="1"/>
    </row>
    <row r="256">
      <c r="K256" s="1"/>
      <c r="L256" s="1"/>
    </row>
    <row r="257">
      <c r="K257" s="1"/>
      <c r="L257" s="1"/>
    </row>
    <row r="258">
      <c r="K258" s="1"/>
      <c r="L258" s="1"/>
    </row>
    <row r="259">
      <c r="K259" s="1"/>
      <c r="L259" s="1"/>
    </row>
    <row r="260">
      <c r="K260" s="1"/>
      <c r="L260" s="1"/>
    </row>
    <row r="261">
      <c r="K261" s="1"/>
      <c r="L261" s="1"/>
    </row>
    <row r="262">
      <c r="K262" s="1"/>
      <c r="L262" s="1"/>
    </row>
    <row r="263">
      <c r="K263" s="1"/>
      <c r="L263" s="1"/>
    </row>
    <row r="264">
      <c r="K264" s="1"/>
      <c r="L264" s="1"/>
    </row>
    <row r="265">
      <c r="K265" s="1"/>
      <c r="L265" s="1"/>
    </row>
    <row r="266">
      <c r="K266" s="1"/>
      <c r="L266" s="1"/>
    </row>
    <row r="267">
      <c r="K267" s="1"/>
      <c r="L267" s="1"/>
    </row>
    <row r="268">
      <c r="K268" s="1"/>
      <c r="L268" s="1"/>
    </row>
    <row r="269">
      <c r="K269" s="1"/>
      <c r="L269" s="1"/>
    </row>
    <row r="270">
      <c r="K270" s="1"/>
      <c r="L270" s="1"/>
    </row>
    <row r="271">
      <c r="K271" s="1"/>
      <c r="L271" s="1"/>
    </row>
    <row r="272">
      <c r="K272" s="1"/>
      <c r="L272" s="1"/>
    </row>
    <row r="273">
      <c r="K273" s="1"/>
      <c r="L273" s="1"/>
    </row>
    <row r="274">
      <c r="K274" s="1"/>
      <c r="L274" s="1"/>
    </row>
    <row r="275">
      <c r="K275" s="1"/>
      <c r="L275" s="1"/>
    </row>
    <row r="276">
      <c r="K276" s="1"/>
      <c r="L276" s="1"/>
    </row>
    <row r="277">
      <c r="K277" s="1"/>
      <c r="L277" s="1"/>
    </row>
    <row r="278">
      <c r="K278" s="1"/>
      <c r="L278" s="1"/>
    </row>
    <row r="279">
      <c r="K279" s="1"/>
      <c r="L279" s="1"/>
    </row>
    <row r="280">
      <c r="K280" s="1"/>
      <c r="L280" s="1"/>
    </row>
    <row r="281">
      <c r="K281" s="1"/>
      <c r="L281" s="1"/>
    </row>
    <row r="282">
      <c r="K282" s="1"/>
      <c r="L282" s="1"/>
    </row>
    <row r="283">
      <c r="K283" s="1"/>
      <c r="L283" s="1"/>
    </row>
    <row r="284">
      <c r="K284" s="1"/>
      <c r="L284" s="1"/>
    </row>
    <row r="285">
      <c r="K285" s="1"/>
      <c r="L285" s="1"/>
    </row>
    <row r="286">
      <c r="K286" s="1"/>
      <c r="L286" s="1"/>
    </row>
    <row r="287">
      <c r="K287" s="1"/>
      <c r="L287" s="1"/>
    </row>
    <row r="288">
      <c r="K288" s="1"/>
      <c r="L288" s="1"/>
    </row>
    <row r="289">
      <c r="K289" s="1"/>
      <c r="L289" s="1"/>
    </row>
    <row r="290">
      <c r="K290" s="1"/>
      <c r="L290" s="1"/>
    </row>
    <row r="291">
      <c r="K291" s="1"/>
      <c r="L291" s="1"/>
    </row>
    <row r="292">
      <c r="K292" s="1"/>
      <c r="L292" s="1"/>
    </row>
    <row r="293">
      <c r="K293" s="1"/>
      <c r="L293" s="1"/>
    </row>
    <row r="294">
      <c r="K294" s="1"/>
      <c r="L294" s="1"/>
    </row>
    <row r="295">
      <c r="K295" s="1"/>
      <c r="L295" s="1"/>
    </row>
    <row r="296">
      <c r="K296" s="1"/>
      <c r="L296" s="1"/>
    </row>
    <row r="297">
      <c r="K297" s="1"/>
      <c r="L297" s="1"/>
    </row>
    <row r="298">
      <c r="K298" s="1"/>
      <c r="L298" s="1"/>
    </row>
    <row r="299">
      <c r="K299" s="1"/>
      <c r="L299" s="1"/>
    </row>
    <row r="300">
      <c r="K300" s="1"/>
      <c r="L300" s="1"/>
    </row>
    <row r="301">
      <c r="K301" s="1"/>
      <c r="L301" s="1"/>
    </row>
    <row r="302">
      <c r="K302" s="1"/>
      <c r="L302" s="1"/>
    </row>
    <row r="303">
      <c r="K303" s="1"/>
      <c r="L303" s="1"/>
    </row>
    <row r="304">
      <c r="K304" s="1"/>
      <c r="L304" s="1"/>
    </row>
    <row r="305">
      <c r="K305" s="1"/>
      <c r="L305" s="1"/>
    </row>
    <row r="306">
      <c r="K306" s="1"/>
      <c r="L306" s="1"/>
    </row>
    <row r="307">
      <c r="K307" s="1"/>
      <c r="L307" s="1"/>
    </row>
    <row r="308">
      <c r="K308" s="1"/>
      <c r="L308" s="1"/>
    </row>
    <row r="309">
      <c r="K309" s="1"/>
      <c r="L309" s="1"/>
    </row>
    <row r="310">
      <c r="K310" s="1"/>
      <c r="L310" s="1"/>
    </row>
    <row r="311">
      <c r="K311" s="1"/>
      <c r="L311" s="1"/>
    </row>
    <row r="312">
      <c r="K312" s="1"/>
      <c r="L312" s="1"/>
    </row>
    <row r="313">
      <c r="K313" s="1"/>
      <c r="L313" s="1"/>
    </row>
    <row r="314">
      <c r="K314" s="1"/>
      <c r="L314" s="1"/>
    </row>
    <row r="315">
      <c r="K315" s="1"/>
      <c r="L315" s="1"/>
    </row>
    <row r="316">
      <c r="K316" s="1"/>
      <c r="L316" s="1"/>
    </row>
    <row r="317">
      <c r="K317" s="1"/>
      <c r="L317" s="1"/>
    </row>
    <row r="318">
      <c r="K318" s="1"/>
      <c r="L318" s="1"/>
    </row>
    <row r="319">
      <c r="K319" s="1"/>
      <c r="L319" s="1"/>
    </row>
    <row r="320">
      <c r="K320" s="1"/>
      <c r="L320" s="1"/>
    </row>
    <row r="321">
      <c r="K321" s="1"/>
      <c r="L321" s="1"/>
    </row>
    <row r="322">
      <c r="K322" s="1"/>
      <c r="L322" s="1"/>
    </row>
    <row r="323">
      <c r="K323" s="1"/>
      <c r="L323" s="1"/>
    </row>
    <row r="324">
      <c r="K324" s="1"/>
      <c r="L324" s="1"/>
    </row>
    <row r="325">
      <c r="K325" s="1"/>
      <c r="L325" s="1"/>
    </row>
    <row r="326">
      <c r="K326" s="1"/>
      <c r="L326" s="1"/>
    </row>
    <row r="327">
      <c r="K327" s="1"/>
      <c r="L327" s="1"/>
    </row>
    <row r="328">
      <c r="K328" s="1"/>
      <c r="L328" s="1"/>
    </row>
    <row r="329">
      <c r="K329" s="1"/>
      <c r="L329" s="1"/>
    </row>
    <row r="330">
      <c r="K330" s="1"/>
      <c r="L330" s="1"/>
    </row>
    <row r="331">
      <c r="K331" s="1"/>
      <c r="L331" s="1"/>
    </row>
    <row r="332">
      <c r="K332" s="1"/>
      <c r="L332" s="1"/>
    </row>
    <row r="333">
      <c r="K333" s="1"/>
      <c r="L333" s="1"/>
    </row>
    <row r="334">
      <c r="K334" s="1"/>
      <c r="L334" s="1"/>
    </row>
    <row r="335">
      <c r="K335" s="1"/>
      <c r="L335" s="1"/>
    </row>
    <row r="336">
      <c r="K336" s="1"/>
      <c r="L336" s="1"/>
    </row>
    <row r="337">
      <c r="K337" s="1"/>
      <c r="L337" s="1"/>
    </row>
    <row r="338">
      <c r="K338" s="1"/>
      <c r="L338" s="1"/>
    </row>
    <row r="339">
      <c r="K339" s="1"/>
      <c r="L339" s="1"/>
    </row>
    <row r="340">
      <c r="K340" s="1"/>
      <c r="L340" s="1"/>
    </row>
    <row r="341">
      <c r="K341" s="1"/>
      <c r="L341" s="1"/>
    </row>
    <row r="342">
      <c r="K342" s="1"/>
      <c r="L342" s="1"/>
    </row>
    <row r="343">
      <c r="K343" s="1"/>
      <c r="L343" s="1"/>
    </row>
    <row r="344">
      <c r="K344" s="1"/>
      <c r="L344" s="1"/>
    </row>
    <row r="345">
      <c r="K345" s="1"/>
      <c r="L345" s="1"/>
    </row>
    <row r="346">
      <c r="K346" s="1"/>
      <c r="L346" s="1"/>
    </row>
    <row r="347">
      <c r="K347" s="1"/>
      <c r="L347" s="1"/>
    </row>
    <row r="348">
      <c r="K348" s="1"/>
      <c r="L348" s="1"/>
    </row>
    <row r="349">
      <c r="K349" s="1"/>
      <c r="L349" s="1"/>
    </row>
    <row r="350">
      <c r="K350" s="1"/>
      <c r="L350" s="1"/>
    </row>
    <row r="351">
      <c r="K351" s="1"/>
      <c r="L351" s="1"/>
    </row>
    <row r="352">
      <c r="K352" s="1"/>
      <c r="L352" s="1"/>
    </row>
    <row r="353">
      <c r="K353" s="1"/>
      <c r="L353" s="1"/>
    </row>
    <row r="354">
      <c r="K354" s="1"/>
      <c r="L354" s="1"/>
    </row>
    <row r="355">
      <c r="K355" s="1"/>
      <c r="L355" s="1"/>
    </row>
    <row r="356">
      <c r="K356" s="1"/>
      <c r="L356" s="1"/>
    </row>
    <row r="357">
      <c r="K357" s="1"/>
      <c r="L357" s="1"/>
    </row>
    <row r="358">
      <c r="K358" s="1"/>
      <c r="L358" s="1"/>
    </row>
    <row r="359">
      <c r="K359" s="1"/>
      <c r="L359" s="1"/>
    </row>
    <row r="360">
      <c r="K360" s="1"/>
      <c r="L360" s="1"/>
    </row>
    <row r="361">
      <c r="K361" s="1"/>
      <c r="L361" s="1"/>
    </row>
    <row r="362">
      <c r="K362" s="1"/>
      <c r="L362" s="1"/>
    </row>
    <row r="363">
      <c r="K363" s="1"/>
      <c r="L363" s="1"/>
    </row>
    <row r="364">
      <c r="K364" s="1"/>
      <c r="L364" s="1"/>
    </row>
    <row r="365">
      <c r="K365" s="1"/>
      <c r="L365" s="1"/>
    </row>
    <row r="366">
      <c r="K366" s="1"/>
      <c r="L366" s="1"/>
    </row>
    <row r="367">
      <c r="K367" s="1"/>
      <c r="L367" s="1"/>
    </row>
    <row r="368">
      <c r="K368" s="1"/>
      <c r="L368" s="1"/>
    </row>
    <row r="369">
      <c r="K369" s="1"/>
      <c r="L369" s="1"/>
    </row>
    <row r="370">
      <c r="K370" s="1"/>
      <c r="L370" s="1"/>
    </row>
    <row r="371">
      <c r="K371" s="1"/>
      <c r="L371" s="1"/>
    </row>
    <row r="372">
      <c r="K372" s="1"/>
      <c r="L372" s="1"/>
    </row>
    <row r="373">
      <c r="K373" s="1"/>
      <c r="L373" s="1"/>
    </row>
    <row r="374">
      <c r="K374" s="1"/>
      <c r="L374" s="1"/>
    </row>
    <row r="375">
      <c r="K375" s="1"/>
      <c r="L375" s="1"/>
    </row>
    <row r="376">
      <c r="K376" s="1"/>
      <c r="L376" s="1"/>
    </row>
    <row r="377">
      <c r="K377" s="1"/>
      <c r="L377" s="1"/>
    </row>
    <row r="378">
      <c r="K378" s="1"/>
      <c r="L378" s="1"/>
    </row>
    <row r="379">
      <c r="K379" s="1"/>
      <c r="L379" s="1"/>
    </row>
    <row r="380">
      <c r="K380" s="1"/>
      <c r="L380" s="1"/>
    </row>
    <row r="381">
      <c r="K381" s="1"/>
      <c r="L381" s="1"/>
    </row>
    <row r="382">
      <c r="K382" s="1"/>
      <c r="L382" s="1"/>
    </row>
    <row r="383">
      <c r="K383" s="1"/>
      <c r="L383" s="1"/>
    </row>
    <row r="384">
      <c r="K384" s="1"/>
      <c r="L384" s="1"/>
    </row>
    <row r="385">
      <c r="K385" s="1"/>
      <c r="L385" s="1"/>
    </row>
    <row r="386">
      <c r="K386" s="1"/>
      <c r="L386" s="1"/>
    </row>
    <row r="387">
      <c r="K387" s="1"/>
      <c r="L387" s="1"/>
    </row>
    <row r="388">
      <c r="K388" s="1"/>
      <c r="L388" s="1"/>
    </row>
    <row r="389">
      <c r="K389" s="1"/>
      <c r="L389" s="1"/>
    </row>
    <row r="390">
      <c r="K390" s="1"/>
      <c r="L390" s="1"/>
    </row>
    <row r="391">
      <c r="K391" s="1"/>
      <c r="L391" s="1"/>
    </row>
    <row r="392">
      <c r="K392" s="1"/>
      <c r="L392" s="1"/>
    </row>
    <row r="393">
      <c r="K393" s="1"/>
      <c r="L393" s="1"/>
    </row>
    <row r="394">
      <c r="K394" s="1"/>
      <c r="L394" s="1"/>
    </row>
    <row r="395">
      <c r="K395" s="1"/>
      <c r="L395" s="1"/>
    </row>
    <row r="396">
      <c r="K396" s="1"/>
      <c r="L396" s="1"/>
    </row>
    <row r="397">
      <c r="K397" s="1"/>
      <c r="L397" s="1"/>
    </row>
    <row r="398">
      <c r="K398" s="1"/>
      <c r="L398" s="1"/>
    </row>
    <row r="399">
      <c r="K399" s="1"/>
      <c r="L399" s="1"/>
    </row>
    <row r="400">
      <c r="K400" s="1"/>
      <c r="L400" s="1"/>
    </row>
    <row r="401">
      <c r="K401" s="1"/>
      <c r="L401" s="1"/>
    </row>
    <row r="402">
      <c r="K402" s="1"/>
      <c r="L402" s="1"/>
    </row>
    <row r="403">
      <c r="K403" s="1"/>
      <c r="L403" s="1"/>
    </row>
    <row r="404">
      <c r="K404" s="1"/>
      <c r="L404" s="1"/>
    </row>
    <row r="405">
      <c r="K405" s="1"/>
      <c r="L405" s="1"/>
    </row>
    <row r="406">
      <c r="K406" s="1"/>
      <c r="L406" s="1"/>
    </row>
    <row r="407">
      <c r="K407" s="1"/>
      <c r="L407" s="1"/>
    </row>
    <row r="408">
      <c r="K408" s="1"/>
      <c r="L408" s="1"/>
    </row>
    <row r="409">
      <c r="K409" s="1"/>
      <c r="L409" s="1"/>
    </row>
    <row r="410">
      <c r="K410" s="1"/>
      <c r="L410" s="1"/>
    </row>
    <row r="411">
      <c r="K411" s="1"/>
      <c r="L411" s="1"/>
    </row>
    <row r="412">
      <c r="K412" s="1"/>
      <c r="L412" s="1"/>
    </row>
    <row r="413">
      <c r="K413" s="1"/>
      <c r="L413" s="1"/>
    </row>
    <row r="414">
      <c r="K414" s="1"/>
      <c r="L414" s="1"/>
    </row>
    <row r="415">
      <c r="K415" s="1"/>
      <c r="L415" s="1"/>
    </row>
    <row r="416">
      <c r="K416" s="1"/>
      <c r="L416" s="1"/>
    </row>
    <row r="417">
      <c r="K417" s="1"/>
      <c r="L417" s="1"/>
    </row>
    <row r="418">
      <c r="K418" s="1"/>
      <c r="L418" s="1"/>
    </row>
    <row r="419">
      <c r="K419" s="1"/>
      <c r="L419" s="1"/>
    </row>
    <row r="420">
      <c r="K420" s="1"/>
      <c r="L420" s="1"/>
    </row>
    <row r="421">
      <c r="K421" s="1"/>
      <c r="L421" s="1"/>
    </row>
    <row r="422">
      <c r="K422" s="1"/>
      <c r="L422" s="1"/>
    </row>
    <row r="423">
      <c r="K423" s="1"/>
      <c r="L423" s="1"/>
    </row>
    <row r="424">
      <c r="K424" s="1"/>
      <c r="L424" s="1"/>
    </row>
    <row r="425">
      <c r="K425" s="1"/>
      <c r="L425" s="1"/>
    </row>
    <row r="426">
      <c r="K426" s="1"/>
      <c r="L426" s="1"/>
    </row>
    <row r="427">
      <c r="K427" s="1"/>
      <c r="L427" s="1"/>
    </row>
    <row r="428">
      <c r="K428" s="1"/>
      <c r="L428" s="1"/>
    </row>
    <row r="429">
      <c r="K429" s="1"/>
      <c r="L429" s="1"/>
    </row>
    <row r="430">
      <c r="K430" s="1"/>
      <c r="L430" s="1"/>
    </row>
    <row r="431">
      <c r="K431" s="1"/>
      <c r="L431" s="1"/>
    </row>
    <row r="432">
      <c r="K432" s="1"/>
      <c r="L432" s="1"/>
    </row>
    <row r="433">
      <c r="K433" s="1"/>
      <c r="L433" s="1"/>
    </row>
    <row r="434">
      <c r="K434" s="1"/>
      <c r="L434" s="1"/>
    </row>
    <row r="435">
      <c r="K435" s="1"/>
      <c r="L435" s="1"/>
    </row>
    <row r="436">
      <c r="K436" s="1"/>
      <c r="L436" s="1"/>
    </row>
    <row r="437">
      <c r="K437" s="1"/>
      <c r="L437" s="1"/>
    </row>
    <row r="438">
      <c r="K438" s="1"/>
      <c r="L438" s="1"/>
    </row>
    <row r="439">
      <c r="K439" s="1"/>
      <c r="L439" s="1"/>
    </row>
    <row r="440">
      <c r="K440" s="1"/>
      <c r="L440" s="1"/>
    </row>
    <row r="441">
      <c r="K441" s="1"/>
      <c r="L441" s="1"/>
    </row>
    <row r="442">
      <c r="K442" s="1"/>
      <c r="L442" s="1"/>
    </row>
    <row r="443">
      <c r="K443" s="1"/>
      <c r="L443" s="1"/>
    </row>
    <row r="444">
      <c r="K444" s="1"/>
      <c r="L444" s="1"/>
    </row>
    <row r="445">
      <c r="K445" s="1"/>
      <c r="L445" s="1"/>
    </row>
    <row r="446">
      <c r="K446" s="1"/>
      <c r="L446" s="1"/>
    </row>
    <row r="447">
      <c r="K447" s="1"/>
      <c r="L447" s="1"/>
    </row>
    <row r="448">
      <c r="K448" s="1"/>
      <c r="L448" s="1"/>
    </row>
    <row r="449">
      <c r="K449" s="1"/>
      <c r="L449" s="1"/>
    </row>
    <row r="450">
      <c r="K450" s="1"/>
      <c r="L450" s="1"/>
    </row>
    <row r="451">
      <c r="K451" s="1"/>
      <c r="L451" s="1"/>
    </row>
    <row r="452">
      <c r="K452" s="1"/>
      <c r="L452" s="1"/>
    </row>
    <row r="453">
      <c r="K453" s="1"/>
      <c r="L453" s="1"/>
    </row>
    <row r="454">
      <c r="K454" s="1"/>
      <c r="L454" s="1"/>
    </row>
    <row r="455">
      <c r="K455" s="1"/>
      <c r="L455" s="1"/>
    </row>
    <row r="456">
      <c r="K456" s="1"/>
      <c r="L456" s="1"/>
    </row>
    <row r="457">
      <c r="K457" s="1"/>
      <c r="L457" s="1"/>
    </row>
    <row r="458">
      <c r="K458" s="1"/>
      <c r="L458" s="1"/>
    </row>
    <row r="459">
      <c r="K459" s="1"/>
      <c r="L459" s="1"/>
    </row>
    <row r="460">
      <c r="K460" s="1"/>
      <c r="L460" s="1"/>
    </row>
    <row r="461">
      <c r="K461" s="1"/>
      <c r="L461" s="1"/>
    </row>
    <row r="462">
      <c r="K462" s="1"/>
      <c r="L462" s="1"/>
    </row>
    <row r="463">
      <c r="K463" s="1"/>
      <c r="L463" s="1"/>
    </row>
    <row r="464">
      <c r="K464" s="1"/>
      <c r="L464" s="1"/>
    </row>
    <row r="465">
      <c r="K465" s="1"/>
      <c r="L465" s="1"/>
    </row>
    <row r="466">
      <c r="K466" s="1"/>
      <c r="L466" s="1"/>
    </row>
    <row r="467">
      <c r="K467" s="1"/>
      <c r="L467" s="1"/>
    </row>
    <row r="468">
      <c r="K468" s="1"/>
      <c r="L468" s="1"/>
    </row>
    <row r="469">
      <c r="K469" s="1"/>
      <c r="L469" s="1"/>
    </row>
    <row r="470">
      <c r="K470" s="1"/>
      <c r="L470" s="1"/>
    </row>
    <row r="471">
      <c r="K471" s="1"/>
      <c r="L471" s="1"/>
    </row>
    <row r="472">
      <c r="K472" s="1"/>
      <c r="L472" s="1"/>
    </row>
    <row r="473">
      <c r="K473" s="1"/>
      <c r="L473" s="1"/>
    </row>
    <row r="474">
      <c r="K474" s="1"/>
      <c r="L474" s="1"/>
    </row>
    <row r="475">
      <c r="K475" s="1"/>
      <c r="L475" s="1"/>
    </row>
    <row r="476">
      <c r="K476" s="1"/>
      <c r="L476" s="1"/>
    </row>
    <row r="477">
      <c r="K477" s="1"/>
      <c r="L477" s="1"/>
    </row>
    <row r="478">
      <c r="K478" s="1"/>
      <c r="L478" s="1"/>
    </row>
    <row r="479">
      <c r="K479" s="1"/>
      <c r="L479" s="1"/>
    </row>
    <row r="480">
      <c r="K480" s="1"/>
      <c r="L480" s="1"/>
    </row>
    <row r="481">
      <c r="K481" s="1"/>
      <c r="L481" s="1"/>
    </row>
    <row r="482">
      <c r="K482" s="1"/>
      <c r="L482" s="1"/>
    </row>
    <row r="483">
      <c r="K483" s="1"/>
      <c r="L483" s="1"/>
    </row>
    <row r="484">
      <c r="K484" s="1"/>
      <c r="L484" s="1"/>
    </row>
    <row r="485">
      <c r="K485" s="1"/>
      <c r="L485" s="1"/>
    </row>
    <row r="486">
      <c r="K486" s="1"/>
      <c r="L486" s="1"/>
    </row>
    <row r="487">
      <c r="K487" s="1"/>
      <c r="L487" s="1"/>
    </row>
    <row r="488">
      <c r="K488" s="1"/>
      <c r="L488" s="1"/>
    </row>
    <row r="489">
      <c r="K489" s="1"/>
      <c r="L489" s="1"/>
    </row>
    <row r="490">
      <c r="K490" s="1"/>
      <c r="L490" s="1"/>
    </row>
    <row r="491">
      <c r="K491" s="1"/>
      <c r="L491" s="1"/>
    </row>
    <row r="492">
      <c r="K492" s="1"/>
      <c r="L492" s="1"/>
    </row>
    <row r="493">
      <c r="K493" s="1"/>
      <c r="L493" s="1"/>
    </row>
    <row r="494">
      <c r="K494" s="1"/>
      <c r="L494" s="1"/>
    </row>
    <row r="495">
      <c r="K495" s="1"/>
      <c r="L495" s="1"/>
    </row>
    <row r="496">
      <c r="K496" s="1"/>
      <c r="L496" s="1"/>
    </row>
    <row r="497">
      <c r="K497" s="1"/>
      <c r="L497" s="1"/>
    </row>
    <row r="498">
      <c r="K498" s="1"/>
      <c r="L498" s="1"/>
    </row>
    <row r="499">
      <c r="K499" s="1"/>
      <c r="L499" s="1"/>
    </row>
    <row r="500">
      <c r="K500" s="1"/>
      <c r="L500" s="1"/>
    </row>
    <row r="501">
      <c r="K501" s="1"/>
      <c r="L501" s="1"/>
    </row>
    <row r="502">
      <c r="K502" s="1"/>
      <c r="L502" s="1"/>
    </row>
    <row r="503">
      <c r="K503" s="1"/>
      <c r="L503" s="1"/>
    </row>
    <row r="504">
      <c r="K504" s="1"/>
      <c r="L504" s="1"/>
    </row>
    <row r="505">
      <c r="K505" s="1"/>
      <c r="L505" s="1"/>
    </row>
    <row r="506">
      <c r="K506" s="1"/>
      <c r="L506" s="1"/>
    </row>
    <row r="507">
      <c r="K507" s="1"/>
      <c r="L507" s="1"/>
    </row>
    <row r="508">
      <c r="K508" s="1"/>
      <c r="L508" s="1"/>
    </row>
    <row r="509">
      <c r="K509" s="1"/>
      <c r="L509" s="1"/>
    </row>
    <row r="510">
      <c r="K510" s="1"/>
      <c r="L510" s="1"/>
    </row>
    <row r="511">
      <c r="K511" s="1"/>
      <c r="L511" s="1"/>
    </row>
    <row r="512">
      <c r="K512" s="1"/>
      <c r="L512" s="1"/>
    </row>
    <row r="513">
      <c r="K513" s="1"/>
      <c r="L513" s="1"/>
    </row>
    <row r="514">
      <c r="K514" s="1"/>
      <c r="L514" s="1"/>
    </row>
    <row r="515">
      <c r="K515" s="1"/>
      <c r="L515" s="1"/>
    </row>
    <row r="516">
      <c r="K516" s="1"/>
      <c r="L516" s="1"/>
    </row>
    <row r="517">
      <c r="K517" s="1"/>
      <c r="L517" s="1"/>
    </row>
    <row r="518">
      <c r="K518" s="1"/>
      <c r="L518" s="1"/>
    </row>
    <row r="519">
      <c r="K519" s="1"/>
      <c r="L519" s="1"/>
    </row>
    <row r="520">
      <c r="K520" s="1"/>
      <c r="L520" s="1"/>
    </row>
    <row r="521">
      <c r="K521" s="1"/>
      <c r="L521" s="1"/>
    </row>
    <row r="522">
      <c r="K522" s="1"/>
      <c r="L522" s="1"/>
    </row>
    <row r="523">
      <c r="K523" s="1"/>
      <c r="L523" s="1"/>
    </row>
    <row r="524">
      <c r="K524" s="1"/>
      <c r="L524" s="1"/>
    </row>
    <row r="525">
      <c r="K525" s="1"/>
      <c r="L525" s="1"/>
    </row>
    <row r="526">
      <c r="K526" s="1"/>
      <c r="L526" s="1"/>
    </row>
    <row r="527">
      <c r="K527" s="1"/>
      <c r="L527" s="1"/>
    </row>
    <row r="528">
      <c r="K528" s="1"/>
      <c r="L528" s="1"/>
    </row>
    <row r="529">
      <c r="K529" s="1"/>
      <c r="L529" s="1"/>
    </row>
    <row r="530">
      <c r="K530" s="1"/>
      <c r="L530" s="1"/>
    </row>
    <row r="531">
      <c r="K531" s="1"/>
      <c r="L531" s="1"/>
    </row>
    <row r="532">
      <c r="K532" s="1"/>
      <c r="L532" s="1"/>
    </row>
    <row r="533">
      <c r="K533" s="1"/>
      <c r="L533" s="1"/>
    </row>
    <row r="534">
      <c r="K534" s="1"/>
      <c r="L534" s="1"/>
    </row>
    <row r="535">
      <c r="K535" s="1"/>
      <c r="L535" s="1"/>
    </row>
    <row r="536">
      <c r="K536" s="1"/>
      <c r="L536" s="1"/>
    </row>
    <row r="537">
      <c r="K537" s="1"/>
      <c r="L537" s="1"/>
    </row>
    <row r="538">
      <c r="K538" s="1"/>
      <c r="L538" s="1"/>
    </row>
    <row r="539">
      <c r="K539" s="1"/>
      <c r="L539" s="1"/>
    </row>
    <row r="540">
      <c r="K540" s="1"/>
      <c r="L540" s="1"/>
    </row>
    <row r="541">
      <c r="K541" s="1"/>
      <c r="L541" s="1"/>
    </row>
    <row r="542">
      <c r="K542" s="1"/>
      <c r="L542" s="1"/>
    </row>
    <row r="543">
      <c r="K543" s="1"/>
      <c r="L543" s="1"/>
    </row>
    <row r="544">
      <c r="K544" s="1"/>
      <c r="L544" s="1"/>
    </row>
    <row r="545">
      <c r="K545" s="1"/>
      <c r="L545" s="1"/>
    </row>
    <row r="546">
      <c r="K546" s="1"/>
      <c r="L546" s="1"/>
    </row>
    <row r="547">
      <c r="K547" s="1"/>
      <c r="L547" s="1"/>
    </row>
    <row r="548">
      <c r="K548" s="1"/>
      <c r="L548" s="1"/>
    </row>
    <row r="549">
      <c r="K549" s="1"/>
      <c r="L549" s="1"/>
    </row>
    <row r="550">
      <c r="K550" s="1"/>
      <c r="L550" s="1"/>
    </row>
    <row r="551">
      <c r="K551" s="1"/>
      <c r="L551" s="1"/>
    </row>
    <row r="552">
      <c r="K552" s="1"/>
      <c r="L552" s="1"/>
    </row>
    <row r="553">
      <c r="K553" s="1"/>
      <c r="L553" s="1"/>
    </row>
    <row r="554">
      <c r="K554" s="1"/>
      <c r="L554" s="1"/>
    </row>
    <row r="555">
      <c r="K555" s="1"/>
      <c r="L555" s="1"/>
    </row>
    <row r="556">
      <c r="K556" s="1"/>
      <c r="L556" s="1"/>
    </row>
    <row r="557">
      <c r="K557" s="1"/>
      <c r="L557" s="1"/>
    </row>
    <row r="558">
      <c r="K558" s="1"/>
      <c r="L558" s="1"/>
    </row>
    <row r="559">
      <c r="K559" s="1"/>
      <c r="L559" s="1"/>
    </row>
    <row r="560">
      <c r="K560" s="1"/>
      <c r="L560" s="1"/>
    </row>
    <row r="561">
      <c r="K561" s="1"/>
      <c r="L561" s="1"/>
    </row>
    <row r="562">
      <c r="K562" s="1"/>
      <c r="L562" s="1"/>
    </row>
    <row r="563">
      <c r="K563" s="1"/>
      <c r="L563" s="1"/>
    </row>
    <row r="564">
      <c r="K564" s="1"/>
      <c r="L564" s="1"/>
    </row>
    <row r="565">
      <c r="K565" s="1"/>
      <c r="L565" s="1"/>
    </row>
    <row r="566">
      <c r="K566" s="1"/>
      <c r="L566" s="1"/>
    </row>
    <row r="567">
      <c r="K567" s="1"/>
      <c r="L567" s="1"/>
    </row>
    <row r="568">
      <c r="K568" s="1"/>
      <c r="L568" s="1"/>
    </row>
    <row r="569">
      <c r="K569" s="1"/>
      <c r="L569" s="1"/>
    </row>
    <row r="570">
      <c r="K570" s="1"/>
      <c r="L570" s="1"/>
    </row>
    <row r="571">
      <c r="K571" s="1"/>
      <c r="L571" s="1"/>
    </row>
    <row r="572">
      <c r="K572" s="1"/>
      <c r="L572" s="1"/>
    </row>
    <row r="573">
      <c r="K573" s="1"/>
      <c r="L573" s="1"/>
    </row>
    <row r="574">
      <c r="K574" s="1"/>
      <c r="L574" s="1"/>
    </row>
    <row r="575">
      <c r="K575" s="1"/>
      <c r="L575" s="1"/>
    </row>
    <row r="576">
      <c r="K576" s="1"/>
      <c r="L576" s="1"/>
    </row>
    <row r="577">
      <c r="K577" s="1"/>
      <c r="L577" s="1"/>
    </row>
    <row r="578">
      <c r="K578" s="1"/>
      <c r="L578" s="1"/>
    </row>
    <row r="579">
      <c r="K579" s="1"/>
      <c r="L579" s="1"/>
    </row>
    <row r="580">
      <c r="K580" s="1"/>
      <c r="L580" s="1"/>
    </row>
    <row r="581">
      <c r="K581" s="1"/>
      <c r="L581" s="1"/>
    </row>
    <row r="582">
      <c r="K582" s="1"/>
      <c r="L582" s="1"/>
    </row>
    <row r="583">
      <c r="K583" s="1"/>
      <c r="L583" s="1"/>
    </row>
    <row r="584">
      <c r="K584" s="1"/>
      <c r="L584" s="1"/>
    </row>
    <row r="585">
      <c r="K585" s="1"/>
      <c r="L585" s="1"/>
    </row>
    <row r="586">
      <c r="K586" s="1"/>
      <c r="L586" s="1"/>
    </row>
    <row r="587">
      <c r="K587" s="1"/>
      <c r="L587" s="1"/>
    </row>
    <row r="588">
      <c r="K588" s="1"/>
      <c r="L588" s="1"/>
    </row>
    <row r="589">
      <c r="K589" s="1"/>
      <c r="L589" s="1"/>
    </row>
    <row r="590">
      <c r="K590" s="1"/>
      <c r="L590" s="1"/>
    </row>
    <row r="591">
      <c r="K591" s="1"/>
      <c r="L591" s="1"/>
    </row>
    <row r="592">
      <c r="K592" s="1"/>
      <c r="L592" s="1"/>
    </row>
    <row r="593">
      <c r="K593" s="1"/>
      <c r="L593" s="1"/>
    </row>
    <row r="594">
      <c r="K594" s="1"/>
      <c r="L594" s="1"/>
    </row>
    <row r="595">
      <c r="K595" s="1"/>
      <c r="L595" s="1"/>
    </row>
    <row r="596">
      <c r="K596" s="1"/>
      <c r="L596" s="1"/>
    </row>
    <row r="597">
      <c r="K597" s="1"/>
      <c r="L597" s="1"/>
    </row>
    <row r="598">
      <c r="K598" s="1"/>
      <c r="L598" s="1"/>
    </row>
    <row r="599">
      <c r="K599" s="1"/>
      <c r="L599" s="1"/>
    </row>
    <row r="600">
      <c r="K600" s="1"/>
      <c r="L600" s="1"/>
    </row>
    <row r="601">
      <c r="K601" s="1"/>
      <c r="L601" s="1"/>
    </row>
    <row r="602">
      <c r="K602" s="1"/>
      <c r="L602" s="1"/>
    </row>
    <row r="603">
      <c r="K603" s="1"/>
      <c r="L603" s="1"/>
    </row>
    <row r="604">
      <c r="K604" s="1"/>
      <c r="L604" s="1"/>
    </row>
    <row r="605">
      <c r="K605" s="1"/>
      <c r="L605" s="1"/>
    </row>
    <row r="606">
      <c r="K606" s="1"/>
      <c r="L606" s="1"/>
    </row>
    <row r="607">
      <c r="K607" s="1"/>
      <c r="L607" s="1"/>
    </row>
    <row r="608">
      <c r="K608" s="1"/>
      <c r="L608" s="1"/>
    </row>
    <row r="609">
      <c r="K609" s="1"/>
      <c r="L609" s="1"/>
    </row>
    <row r="610">
      <c r="K610" s="1"/>
      <c r="L610" s="1"/>
    </row>
    <row r="611">
      <c r="K611" s="1"/>
      <c r="L611" s="1"/>
    </row>
    <row r="612">
      <c r="K612" s="1"/>
      <c r="L612" s="1"/>
    </row>
    <row r="613">
      <c r="K613" s="1"/>
      <c r="L613" s="1"/>
    </row>
    <row r="614">
      <c r="K614" s="1"/>
      <c r="L614" s="1"/>
    </row>
    <row r="615">
      <c r="K615" s="1"/>
      <c r="L615" s="1"/>
    </row>
    <row r="616">
      <c r="K616" s="1"/>
      <c r="L616" s="1"/>
    </row>
    <row r="617">
      <c r="K617" s="1"/>
      <c r="L617" s="1"/>
    </row>
    <row r="618">
      <c r="K618" s="1"/>
      <c r="L618" s="1"/>
    </row>
    <row r="619">
      <c r="K619" s="1"/>
      <c r="L619" s="1"/>
    </row>
    <row r="620">
      <c r="K620" s="1"/>
      <c r="L620" s="1"/>
    </row>
    <row r="621">
      <c r="K621" s="1"/>
      <c r="L621" s="1"/>
    </row>
    <row r="622">
      <c r="K622" s="1"/>
      <c r="L622" s="1"/>
    </row>
    <row r="623">
      <c r="K623" s="1"/>
      <c r="L623" s="1"/>
    </row>
    <row r="624">
      <c r="K624" s="1"/>
      <c r="L624" s="1"/>
    </row>
    <row r="625">
      <c r="K625" s="1"/>
      <c r="L625" s="1"/>
    </row>
    <row r="626">
      <c r="K626" s="1"/>
      <c r="L626" s="1"/>
    </row>
    <row r="627">
      <c r="K627" s="1"/>
      <c r="L627" s="1"/>
    </row>
    <row r="628">
      <c r="K628" s="1"/>
      <c r="L628" s="1"/>
    </row>
    <row r="629">
      <c r="K629" s="1"/>
      <c r="L629" s="1"/>
    </row>
    <row r="630">
      <c r="K630" s="1"/>
      <c r="L630" s="1"/>
    </row>
    <row r="631">
      <c r="K631" s="1"/>
      <c r="L631" s="1"/>
    </row>
    <row r="632">
      <c r="K632" s="1"/>
      <c r="L632" s="1"/>
    </row>
    <row r="633">
      <c r="K633" s="1"/>
      <c r="L633" s="1"/>
    </row>
    <row r="634">
      <c r="K634" s="1"/>
      <c r="L634" s="1"/>
    </row>
    <row r="635">
      <c r="K635" s="1"/>
      <c r="L635" s="1"/>
    </row>
    <row r="636">
      <c r="K636" s="1"/>
      <c r="L636" s="1"/>
    </row>
    <row r="637">
      <c r="K637" s="1"/>
      <c r="L637" s="1"/>
    </row>
    <row r="638">
      <c r="K638" s="1"/>
      <c r="L638" s="1"/>
    </row>
    <row r="639">
      <c r="K639" s="1"/>
      <c r="L639" s="1"/>
    </row>
    <row r="640">
      <c r="K640" s="1"/>
      <c r="L640" s="1"/>
    </row>
    <row r="641">
      <c r="K641" s="1"/>
      <c r="L641" s="1"/>
    </row>
    <row r="642">
      <c r="K642" s="1"/>
      <c r="L642" s="1"/>
    </row>
    <row r="643">
      <c r="K643" s="1"/>
      <c r="L643" s="1"/>
    </row>
    <row r="644">
      <c r="K644" s="1"/>
      <c r="L644" s="1"/>
    </row>
    <row r="645">
      <c r="K645" s="1"/>
      <c r="L645" s="1"/>
    </row>
    <row r="646">
      <c r="K646" s="1"/>
      <c r="L646" s="1"/>
    </row>
    <row r="647">
      <c r="K647" s="1"/>
      <c r="L647" s="1"/>
    </row>
    <row r="648">
      <c r="K648" s="1"/>
      <c r="L648" s="1"/>
    </row>
    <row r="649">
      <c r="K649" s="1"/>
      <c r="L649" s="1"/>
    </row>
    <row r="650">
      <c r="K650" s="1"/>
      <c r="L650" s="1"/>
    </row>
    <row r="651">
      <c r="K651" s="1"/>
      <c r="L651" s="1"/>
    </row>
    <row r="652">
      <c r="K652" s="1"/>
      <c r="L652" s="1"/>
    </row>
    <row r="653">
      <c r="K653" s="1"/>
      <c r="L653" s="1"/>
    </row>
    <row r="654">
      <c r="K654" s="1"/>
      <c r="L654" s="1"/>
    </row>
    <row r="655">
      <c r="K655" s="1"/>
      <c r="L655" s="1"/>
    </row>
    <row r="656">
      <c r="K656" s="1"/>
      <c r="L656" s="1"/>
    </row>
    <row r="657">
      <c r="K657" s="1"/>
      <c r="L657" s="1"/>
    </row>
    <row r="658">
      <c r="K658" s="1"/>
      <c r="L658" s="1"/>
    </row>
    <row r="659">
      <c r="K659" s="1"/>
      <c r="L659" s="1"/>
    </row>
    <row r="660">
      <c r="K660" s="1"/>
      <c r="L660" s="1"/>
    </row>
    <row r="661">
      <c r="K661" s="1"/>
      <c r="L661" s="1"/>
    </row>
    <row r="662">
      <c r="K662" s="1"/>
      <c r="L662" s="1"/>
    </row>
    <row r="663">
      <c r="K663" s="1"/>
      <c r="L663" s="1"/>
    </row>
    <row r="664">
      <c r="K664" s="1"/>
      <c r="L664" s="1"/>
    </row>
    <row r="665">
      <c r="K665" s="1"/>
      <c r="L665" s="1"/>
    </row>
    <row r="666">
      <c r="K666" s="1"/>
      <c r="L666" s="1"/>
    </row>
    <row r="667">
      <c r="K667" s="1"/>
      <c r="L667" s="1"/>
    </row>
    <row r="668">
      <c r="K668" s="1"/>
      <c r="L668" s="1"/>
    </row>
    <row r="669">
      <c r="K669" s="1"/>
      <c r="L669" s="1"/>
    </row>
    <row r="670">
      <c r="K670" s="1"/>
      <c r="L670" s="1"/>
    </row>
    <row r="671">
      <c r="K671" s="1"/>
      <c r="L671" s="1"/>
    </row>
    <row r="672">
      <c r="K672" s="1"/>
      <c r="L672" s="1"/>
    </row>
    <row r="673">
      <c r="K673" s="1"/>
      <c r="L673" s="1"/>
    </row>
    <row r="674">
      <c r="K674" s="1"/>
      <c r="L674" s="1"/>
    </row>
    <row r="675">
      <c r="K675" s="1"/>
      <c r="L675" s="1"/>
    </row>
    <row r="676">
      <c r="K676" s="1"/>
      <c r="L676" s="1"/>
    </row>
    <row r="677">
      <c r="K677" s="1"/>
      <c r="L677" s="1"/>
    </row>
    <row r="678">
      <c r="K678" s="1"/>
      <c r="L678" s="1"/>
    </row>
    <row r="679">
      <c r="K679" s="1"/>
      <c r="L679" s="1"/>
    </row>
    <row r="680">
      <c r="K680" s="1"/>
      <c r="L680" s="1"/>
    </row>
    <row r="681">
      <c r="K681" s="1"/>
      <c r="L681" s="1"/>
    </row>
    <row r="682">
      <c r="K682" s="1"/>
      <c r="L682" s="1"/>
    </row>
    <row r="683">
      <c r="K683" s="1"/>
      <c r="L683" s="1"/>
    </row>
    <row r="684">
      <c r="K684" s="1"/>
      <c r="L684" s="1"/>
    </row>
    <row r="685">
      <c r="K685" s="1"/>
      <c r="L685" s="1"/>
    </row>
    <row r="686">
      <c r="K686" s="1"/>
      <c r="L686" s="1"/>
    </row>
    <row r="687">
      <c r="K687" s="1"/>
      <c r="L687" s="1"/>
    </row>
    <row r="688">
      <c r="K688" s="1"/>
      <c r="L688" s="1"/>
    </row>
    <row r="689">
      <c r="K689" s="1"/>
      <c r="L689" s="1"/>
    </row>
    <row r="690">
      <c r="K690" s="1"/>
      <c r="L690" s="1"/>
    </row>
    <row r="691">
      <c r="K691" s="1"/>
      <c r="L691" s="1"/>
    </row>
    <row r="692">
      <c r="K692" s="1"/>
      <c r="L692" s="1"/>
    </row>
    <row r="693">
      <c r="K693" s="1"/>
      <c r="L693" s="1"/>
    </row>
    <row r="694">
      <c r="K694" s="1"/>
      <c r="L694" s="1"/>
    </row>
    <row r="695">
      <c r="K695" s="1"/>
      <c r="L695" s="1"/>
    </row>
    <row r="696">
      <c r="K696" s="1"/>
      <c r="L696" s="1"/>
    </row>
    <row r="697">
      <c r="K697" s="1"/>
      <c r="L697" s="1"/>
    </row>
    <row r="698">
      <c r="K698" s="1"/>
      <c r="L698" s="1"/>
    </row>
    <row r="699">
      <c r="K699" s="1"/>
      <c r="L699" s="1"/>
    </row>
    <row r="700">
      <c r="K700" s="1"/>
      <c r="L700" s="1"/>
    </row>
    <row r="701">
      <c r="K701" s="1"/>
      <c r="L701" s="1"/>
    </row>
    <row r="702">
      <c r="K702" s="1"/>
      <c r="L702" s="1"/>
    </row>
    <row r="703">
      <c r="K703" s="1"/>
      <c r="L703" s="1"/>
    </row>
    <row r="704">
      <c r="K704" s="1"/>
      <c r="L704" s="1"/>
    </row>
    <row r="705">
      <c r="K705" s="1"/>
      <c r="L705" s="1"/>
    </row>
    <row r="706">
      <c r="K706" s="1"/>
      <c r="L706" s="1"/>
    </row>
    <row r="707">
      <c r="K707" s="1"/>
      <c r="L707" s="1"/>
    </row>
    <row r="708">
      <c r="K708" s="1"/>
      <c r="L708" s="1"/>
    </row>
    <row r="709">
      <c r="K709" s="1"/>
      <c r="L709" s="1"/>
    </row>
    <row r="710">
      <c r="K710" s="1"/>
      <c r="L710" s="1"/>
    </row>
    <row r="711">
      <c r="K711" s="1"/>
      <c r="L711" s="1"/>
    </row>
    <row r="712">
      <c r="K712" s="1"/>
      <c r="L712" s="1"/>
    </row>
    <row r="713">
      <c r="K713" s="1"/>
      <c r="L713" s="1"/>
    </row>
    <row r="714">
      <c r="K714" s="1"/>
      <c r="L714" s="1"/>
    </row>
    <row r="715">
      <c r="K715" s="1"/>
      <c r="L715" s="1"/>
    </row>
    <row r="716">
      <c r="K716" s="1"/>
      <c r="L716" s="1"/>
    </row>
    <row r="717">
      <c r="K717" s="1"/>
      <c r="L717" s="1"/>
    </row>
    <row r="718">
      <c r="K718" s="1"/>
      <c r="L718" s="1"/>
    </row>
    <row r="719">
      <c r="K719" s="1"/>
      <c r="L719" s="1"/>
    </row>
    <row r="720">
      <c r="K720" s="1"/>
      <c r="L720" s="1"/>
    </row>
    <row r="721">
      <c r="K721" s="1"/>
      <c r="L721" s="1"/>
    </row>
    <row r="722">
      <c r="K722" s="1"/>
      <c r="L722" s="1"/>
    </row>
    <row r="723">
      <c r="K723" s="1"/>
      <c r="L723" s="1"/>
    </row>
    <row r="724">
      <c r="K724" s="1"/>
      <c r="L724" s="1"/>
    </row>
    <row r="725">
      <c r="K725" s="1"/>
      <c r="L725" s="1"/>
    </row>
    <row r="726">
      <c r="K726" s="1"/>
      <c r="L726" s="1"/>
    </row>
    <row r="727">
      <c r="K727" s="1"/>
      <c r="L727" s="1"/>
    </row>
    <row r="728">
      <c r="K728" s="1"/>
      <c r="L728" s="1"/>
    </row>
    <row r="729">
      <c r="K729" s="1"/>
      <c r="L729" s="1"/>
    </row>
    <row r="730">
      <c r="K730" s="1"/>
      <c r="L730" s="1"/>
    </row>
    <row r="731">
      <c r="K731" s="1"/>
      <c r="L731" s="1"/>
    </row>
    <row r="732">
      <c r="K732" s="1"/>
      <c r="L732" s="1"/>
    </row>
    <row r="733">
      <c r="K733" s="1"/>
      <c r="L733" s="1"/>
    </row>
    <row r="734">
      <c r="K734" s="1"/>
      <c r="L734" s="1"/>
    </row>
    <row r="735">
      <c r="K735" s="1"/>
      <c r="L735" s="1"/>
    </row>
    <row r="736">
      <c r="K736" s="1"/>
      <c r="L736" s="1"/>
    </row>
    <row r="737">
      <c r="K737" s="1"/>
      <c r="L737" s="1"/>
    </row>
    <row r="738">
      <c r="K738" s="1"/>
      <c r="L738" s="1"/>
    </row>
    <row r="739">
      <c r="K739" s="1"/>
      <c r="L739" s="1"/>
    </row>
    <row r="740">
      <c r="K740" s="1"/>
      <c r="L740" s="1"/>
    </row>
    <row r="741">
      <c r="K741" s="1"/>
      <c r="L741" s="1"/>
    </row>
    <row r="742">
      <c r="K742" s="1"/>
      <c r="L742" s="1"/>
    </row>
    <row r="743">
      <c r="K743" s="1"/>
      <c r="L743" s="1"/>
    </row>
    <row r="744">
      <c r="K744" s="1"/>
      <c r="L744" s="1"/>
    </row>
    <row r="745">
      <c r="K745" s="1"/>
      <c r="L745" s="1"/>
    </row>
    <row r="746">
      <c r="K746" s="1"/>
      <c r="L746" s="1"/>
    </row>
    <row r="747">
      <c r="K747" s="1"/>
      <c r="L747" s="1"/>
    </row>
    <row r="748">
      <c r="K748" s="1"/>
      <c r="L748" s="1"/>
    </row>
    <row r="749">
      <c r="K749" s="1"/>
      <c r="L749" s="1"/>
    </row>
    <row r="750">
      <c r="K750" s="1"/>
      <c r="L750" s="1"/>
    </row>
    <row r="751">
      <c r="K751" s="1"/>
      <c r="L751" s="1"/>
    </row>
    <row r="752">
      <c r="K752" s="1"/>
      <c r="L752" s="1"/>
    </row>
    <row r="753">
      <c r="K753" s="1"/>
      <c r="L753" s="1"/>
    </row>
    <row r="754">
      <c r="K754" s="1"/>
      <c r="L754" s="1"/>
    </row>
    <row r="755">
      <c r="K755" s="1"/>
      <c r="L755" s="1"/>
    </row>
    <row r="756">
      <c r="K756" s="1"/>
      <c r="L756" s="1"/>
    </row>
    <row r="757">
      <c r="K757" s="1"/>
      <c r="L757" s="1"/>
    </row>
    <row r="758">
      <c r="K758" s="1"/>
      <c r="L758" s="1"/>
    </row>
    <row r="759">
      <c r="K759" s="1"/>
      <c r="L759" s="1"/>
    </row>
    <row r="760">
      <c r="K760" s="1"/>
      <c r="L760" s="1"/>
    </row>
    <row r="761">
      <c r="K761" s="1"/>
      <c r="L761" s="1"/>
    </row>
    <row r="762">
      <c r="K762" s="1"/>
      <c r="L762" s="1"/>
    </row>
    <row r="763">
      <c r="K763" s="1"/>
      <c r="L763" s="1"/>
    </row>
    <row r="764">
      <c r="K764" s="1"/>
      <c r="L764" s="1"/>
    </row>
    <row r="765">
      <c r="K765" s="1"/>
      <c r="L765" s="1"/>
    </row>
    <row r="766">
      <c r="K766" s="1"/>
      <c r="L766" s="1"/>
    </row>
    <row r="767">
      <c r="K767" s="1"/>
      <c r="L767" s="1"/>
    </row>
    <row r="768">
      <c r="K768" s="1"/>
      <c r="L768" s="1"/>
    </row>
    <row r="769">
      <c r="K769" s="1"/>
      <c r="L769" s="1"/>
    </row>
    <row r="770">
      <c r="K770" s="1"/>
      <c r="L770" s="1"/>
    </row>
    <row r="771">
      <c r="K771" s="1"/>
      <c r="L771" s="1"/>
    </row>
    <row r="772">
      <c r="K772" s="1"/>
      <c r="L772" s="1"/>
    </row>
    <row r="773">
      <c r="K773" s="1"/>
      <c r="L773" s="1"/>
    </row>
    <row r="774">
      <c r="K774" s="1"/>
      <c r="L774" s="1"/>
    </row>
    <row r="775">
      <c r="K775" s="1"/>
      <c r="L775" s="1"/>
    </row>
    <row r="776">
      <c r="K776" s="1"/>
      <c r="L776" s="1"/>
    </row>
    <row r="777">
      <c r="K777" s="1"/>
      <c r="L777" s="1"/>
    </row>
    <row r="778">
      <c r="K778" s="1"/>
      <c r="L778" s="1"/>
    </row>
    <row r="779">
      <c r="K779" s="1"/>
      <c r="L779" s="1"/>
    </row>
    <row r="780">
      <c r="K780" s="1"/>
      <c r="L780" s="1"/>
    </row>
    <row r="781">
      <c r="K781" s="1"/>
      <c r="L781" s="1"/>
    </row>
    <row r="782">
      <c r="K782" s="1"/>
      <c r="L782" s="1"/>
    </row>
    <row r="783">
      <c r="K783" s="1"/>
      <c r="L783" s="1"/>
    </row>
    <row r="784">
      <c r="K784" s="1"/>
      <c r="L784" s="1"/>
    </row>
    <row r="785">
      <c r="K785" s="1"/>
      <c r="L785" s="1"/>
    </row>
    <row r="786">
      <c r="K786" s="1"/>
      <c r="L786" s="1"/>
    </row>
    <row r="787">
      <c r="K787" s="1"/>
      <c r="L787" s="1"/>
    </row>
    <row r="788">
      <c r="K788" s="1"/>
      <c r="L788" s="1"/>
    </row>
    <row r="789">
      <c r="K789" s="1"/>
      <c r="L789" s="1"/>
    </row>
    <row r="790">
      <c r="K790" s="1"/>
      <c r="L790" s="1"/>
    </row>
    <row r="791">
      <c r="K791" s="1"/>
      <c r="L791" s="1"/>
    </row>
    <row r="792">
      <c r="K792" s="1"/>
      <c r="L792" s="1"/>
    </row>
    <row r="793">
      <c r="K793" s="1"/>
      <c r="L793" s="1"/>
    </row>
    <row r="794">
      <c r="K794" s="1"/>
      <c r="L794" s="1"/>
    </row>
    <row r="795">
      <c r="K795" s="1"/>
      <c r="L795" s="1"/>
    </row>
    <row r="796">
      <c r="K796" s="1"/>
      <c r="L796" s="1"/>
    </row>
    <row r="797">
      <c r="K797" s="1"/>
      <c r="L797" s="1"/>
    </row>
    <row r="798">
      <c r="K798" s="1"/>
      <c r="L798" s="1"/>
    </row>
    <row r="799">
      <c r="K799" s="1"/>
      <c r="L799" s="1"/>
    </row>
    <row r="800">
      <c r="K800" s="1"/>
      <c r="L800" s="1"/>
    </row>
    <row r="801">
      <c r="K801" s="1"/>
      <c r="L801" s="1"/>
    </row>
    <row r="802">
      <c r="K802" s="1"/>
      <c r="L802" s="1"/>
    </row>
    <row r="803">
      <c r="K803" s="1"/>
      <c r="L803" s="1"/>
    </row>
    <row r="804">
      <c r="K804" s="1"/>
      <c r="L804" s="1"/>
    </row>
    <row r="805">
      <c r="K805" s="1"/>
      <c r="L805" s="1"/>
    </row>
    <row r="806">
      <c r="K806" s="1"/>
      <c r="L806" s="1"/>
    </row>
    <row r="807">
      <c r="K807" s="1"/>
      <c r="L807" s="1"/>
    </row>
    <row r="808">
      <c r="K808" s="1"/>
      <c r="L808" s="1"/>
    </row>
    <row r="809">
      <c r="K809" s="1"/>
      <c r="L809" s="1"/>
    </row>
    <row r="810">
      <c r="K810" s="1"/>
      <c r="L810" s="1"/>
    </row>
    <row r="811">
      <c r="K811" s="1"/>
      <c r="L811" s="1"/>
    </row>
    <row r="812">
      <c r="K812" s="1"/>
      <c r="L812" s="1"/>
    </row>
    <row r="813">
      <c r="K813" s="1"/>
      <c r="L813" s="1"/>
    </row>
    <row r="814">
      <c r="K814" s="1"/>
      <c r="L814" s="1"/>
    </row>
    <row r="815">
      <c r="K815" s="1"/>
      <c r="L815" s="1"/>
    </row>
    <row r="816">
      <c r="K816" s="1"/>
      <c r="L816" s="1"/>
    </row>
    <row r="817">
      <c r="K817" s="1"/>
      <c r="L817" s="1"/>
    </row>
    <row r="818">
      <c r="K818" s="1"/>
      <c r="L818" s="1"/>
    </row>
    <row r="819">
      <c r="K819" s="1"/>
      <c r="L819" s="1"/>
    </row>
    <row r="820">
      <c r="K820" s="1"/>
      <c r="L820" s="1"/>
    </row>
    <row r="821">
      <c r="K821" s="1"/>
      <c r="L821" s="1"/>
    </row>
    <row r="822">
      <c r="K822" s="1"/>
      <c r="L822" s="1"/>
    </row>
    <row r="823">
      <c r="K823" s="1"/>
      <c r="L823" s="1"/>
    </row>
    <row r="824">
      <c r="K824" s="1"/>
      <c r="L824" s="1"/>
    </row>
    <row r="825">
      <c r="K825" s="1"/>
      <c r="L825" s="1"/>
    </row>
    <row r="826">
      <c r="K826" s="1"/>
      <c r="L826" s="1"/>
    </row>
    <row r="827">
      <c r="K827" s="1"/>
      <c r="L827" s="1"/>
    </row>
    <row r="828">
      <c r="K828" s="1"/>
      <c r="L828" s="1"/>
    </row>
    <row r="829">
      <c r="K829" s="1"/>
      <c r="L829" s="1"/>
    </row>
    <row r="830">
      <c r="K830" s="1"/>
      <c r="L830" s="1"/>
    </row>
    <row r="831">
      <c r="K831" s="1"/>
      <c r="L831" s="1"/>
    </row>
    <row r="832">
      <c r="K832" s="1"/>
      <c r="L832" s="1"/>
    </row>
    <row r="833">
      <c r="K833" s="1"/>
      <c r="L833" s="1"/>
    </row>
    <row r="834">
      <c r="K834" s="1"/>
      <c r="L834" s="1"/>
    </row>
    <row r="835">
      <c r="K835" s="1"/>
      <c r="L835" s="1"/>
    </row>
    <row r="836">
      <c r="K836" s="1"/>
      <c r="L836" s="1"/>
    </row>
    <row r="837">
      <c r="K837" s="1"/>
      <c r="L837" s="1"/>
    </row>
    <row r="838">
      <c r="K838" s="1"/>
      <c r="L838" s="1"/>
    </row>
    <row r="839">
      <c r="K839" s="1"/>
      <c r="L839" s="1"/>
    </row>
    <row r="840">
      <c r="K840" s="1"/>
      <c r="L840" s="1"/>
    </row>
    <row r="841">
      <c r="K841" s="1"/>
      <c r="L841" s="1"/>
    </row>
    <row r="842">
      <c r="K842" s="1"/>
      <c r="L842" s="1"/>
    </row>
    <row r="843">
      <c r="K843" s="1"/>
      <c r="L843" s="1"/>
    </row>
    <row r="844">
      <c r="K844" s="1"/>
      <c r="L844" s="1"/>
    </row>
    <row r="845">
      <c r="K845" s="1"/>
      <c r="L845" s="1"/>
    </row>
    <row r="846">
      <c r="K846" s="1"/>
      <c r="L846" s="1"/>
    </row>
    <row r="847">
      <c r="K847" s="1"/>
      <c r="L847" s="1"/>
    </row>
    <row r="848">
      <c r="K848" s="1"/>
      <c r="L848" s="1"/>
    </row>
    <row r="849">
      <c r="K849" s="1"/>
      <c r="L849" s="1"/>
    </row>
    <row r="850">
      <c r="K850" s="1"/>
      <c r="L850" s="1"/>
    </row>
    <row r="851">
      <c r="K851" s="1"/>
      <c r="L851" s="1"/>
    </row>
    <row r="852">
      <c r="K852" s="1"/>
      <c r="L852" s="1"/>
    </row>
    <row r="853">
      <c r="K853" s="1"/>
      <c r="L853" s="1"/>
    </row>
    <row r="854">
      <c r="K854" s="1"/>
      <c r="L854" s="1"/>
    </row>
    <row r="855">
      <c r="K855" s="1"/>
      <c r="L855" s="1"/>
    </row>
    <row r="856">
      <c r="K856" s="1"/>
      <c r="L856" s="1"/>
    </row>
    <row r="857">
      <c r="K857" s="1"/>
      <c r="L857" s="1"/>
    </row>
    <row r="858">
      <c r="K858" s="1"/>
      <c r="L858" s="1"/>
    </row>
    <row r="859">
      <c r="K859" s="1"/>
      <c r="L859" s="1"/>
    </row>
    <row r="860">
      <c r="K860" s="1"/>
      <c r="L860" s="1"/>
    </row>
    <row r="861">
      <c r="K861" s="1"/>
      <c r="L861" s="1"/>
    </row>
    <row r="862">
      <c r="K862" s="1"/>
      <c r="L862" s="1"/>
    </row>
    <row r="863">
      <c r="K863" s="1"/>
      <c r="L863" s="1"/>
    </row>
    <row r="864">
      <c r="K864" s="1"/>
      <c r="L864" s="1"/>
    </row>
    <row r="865">
      <c r="K865" s="1"/>
      <c r="L865" s="1"/>
    </row>
    <row r="866">
      <c r="K866" s="1"/>
      <c r="L866" s="1"/>
    </row>
    <row r="867">
      <c r="K867" s="1"/>
      <c r="L867" s="1"/>
    </row>
    <row r="868">
      <c r="K868" s="1"/>
      <c r="L868" s="1"/>
    </row>
    <row r="869">
      <c r="K869" s="1"/>
      <c r="L869" s="1"/>
    </row>
    <row r="870">
      <c r="K870" s="1"/>
      <c r="L870" s="1"/>
    </row>
    <row r="871">
      <c r="K871" s="1"/>
      <c r="L871" s="1"/>
    </row>
    <row r="872">
      <c r="K872" s="1"/>
      <c r="L872" s="1"/>
    </row>
    <row r="873">
      <c r="K873" s="1"/>
      <c r="L873" s="1"/>
    </row>
    <row r="874">
      <c r="K874" s="1"/>
      <c r="L874" s="1"/>
    </row>
    <row r="875">
      <c r="K875" s="1"/>
      <c r="L875" s="1"/>
    </row>
    <row r="876">
      <c r="K876" s="1"/>
      <c r="L876" s="1"/>
    </row>
    <row r="877">
      <c r="K877" s="1"/>
      <c r="L877" s="1"/>
    </row>
    <row r="878">
      <c r="K878" s="1"/>
      <c r="L878" s="1"/>
    </row>
    <row r="879">
      <c r="K879" s="1"/>
      <c r="L879" s="1"/>
    </row>
    <row r="880">
      <c r="K880" s="1"/>
      <c r="L880" s="1"/>
    </row>
    <row r="881">
      <c r="K881" s="1"/>
      <c r="L881" s="1"/>
    </row>
    <row r="882">
      <c r="K882" s="1"/>
      <c r="L882" s="1"/>
    </row>
    <row r="883">
      <c r="K883" s="1"/>
      <c r="L883" s="1"/>
    </row>
    <row r="884">
      <c r="K884" s="1"/>
      <c r="L884" s="1"/>
    </row>
    <row r="885">
      <c r="K885" s="1"/>
      <c r="L885" s="1"/>
    </row>
    <row r="886">
      <c r="K886" s="1"/>
      <c r="L886" s="1"/>
    </row>
    <row r="887">
      <c r="K887" s="1"/>
      <c r="L887" s="1"/>
    </row>
    <row r="888">
      <c r="K888" s="1"/>
      <c r="L888" s="1"/>
    </row>
    <row r="889">
      <c r="K889" s="1"/>
      <c r="L889" s="1"/>
    </row>
    <row r="890">
      <c r="K890" s="1"/>
      <c r="L890" s="1"/>
    </row>
    <row r="891">
      <c r="K891" s="1"/>
      <c r="L891" s="1"/>
    </row>
    <row r="892">
      <c r="K892" s="1"/>
      <c r="L892" s="1"/>
    </row>
    <row r="893">
      <c r="K893" s="1"/>
      <c r="L893" s="1"/>
    </row>
    <row r="894">
      <c r="K894" s="1"/>
      <c r="L894" s="1"/>
    </row>
    <row r="895">
      <c r="K895" s="1"/>
      <c r="L895" s="1"/>
    </row>
    <row r="896">
      <c r="K896" s="1"/>
      <c r="L896" s="1"/>
    </row>
    <row r="897">
      <c r="K897" s="1"/>
      <c r="L897" s="1"/>
    </row>
    <row r="898">
      <c r="K898" s="1"/>
      <c r="L898" s="1"/>
    </row>
    <row r="899">
      <c r="K899" s="1"/>
      <c r="L899" s="1"/>
    </row>
    <row r="900">
      <c r="K900" s="1"/>
      <c r="L900" s="1"/>
    </row>
    <row r="901">
      <c r="K901" s="1"/>
      <c r="L901" s="1"/>
    </row>
    <row r="902">
      <c r="K902" s="1"/>
      <c r="L902" s="1"/>
    </row>
    <row r="903">
      <c r="K903" s="1"/>
      <c r="L903" s="1"/>
    </row>
    <row r="904">
      <c r="K904" s="1"/>
      <c r="L904" s="1"/>
    </row>
    <row r="905">
      <c r="K905" s="1"/>
      <c r="L905" s="1"/>
    </row>
    <row r="906">
      <c r="K906" s="1"/>
      <c r="L906" s="1"/>
    </row>
    <row r="907">
      <c r="K907" s="1"/>
      <c r="L907" s="1"/>
    </row>
    <row r="908">
      <c r="K908" s="1"/>
      <c r="L908" s="1"/>
    </row>
    <row r="909">
      <c r="K909" s="1"/>
      <c r="L909" s="1"/>
    </row>
    <row r="910">
      <c r="K910" s="1"/>
      <c r="L910" s="1"/>
    </row>
    <row r="911">
      <c r="K911" s="1"/>
      <c r="L911" s="1"/>
    </row>
    <row r="912">
      <c r="K912" s="1"/>
      <c r="L912" s="1"/>
    </row>
    <row r="913">
      <c r="K913" s="1"/>
      <c r="L913" s="1"/>
    </row>
    <row r="914">
      <c r="K914" s="1"/>
      <c r="L914" s="1"/>
    </row>
    <row r="915">
      <c r="K915" s="1"/>
      <c r="L915" s="1"/>
    </row>
    <row r="916">
      <c r="K916" s="1"/>
      <c r="L916" s="1"/>
    </row>
    <row r="917">
      <c r="K917" s="1"/>
      <c r="L917" s="1"/>
    </row>
    <row r="918">
      <c r="K918" s="1"/>
      <c r="L918" s="1"/>
    </row>
    <row r="919">
      <c r="K919" s="1"/>
      <c r="L919" s="1"/>
    </row>
    <row r="920">
      <c r="K920" s="1"/>
      <c r="L920" s="1"/>
    </row>
    <row r="921">
      <c r="K921" s="1"/>
      <c r="L921" s="1"/>
    </row>
    <row r="922">
      <c r="K922" s="1"/>
      <c r="L922" s="1"/>
    </row>
    <row r="923">
      <c r="K923" s="1"/>
      <c r="L923" s="1"/>
    </row>
    <row r="924">
      <c r="K924" s="1"/>
      <c r="L924" s="1"/>
    </row>
    <row r="925">
      <c r="K925" s="1"/>
      <c r="L925" s="1"/>
    </row>
    <row r="926">
      <c r="K926" s="1"/>
      <c r="L926" s="1"/>
    </row>
    <row r="927">
      <c r="K927" s="1"/>
      <c r="L927" s="1"/>
    </row>
    <row r="928">
      <c r="K928" s="1"/>
      <c r="L928" s="1"/>
    </row>
    <row r="929">
      <c r="K929" s="1"/>
      <c r="L929" s="1"/>
    </row>
    <row r="930">
      <c r="K930" s="1"/>
      <c r="L930" s="1"/>
    </row>
    <row r="931">
      <c r="K931" s="1"/>
      <c r="L931" s="1"/>
    </row>
    <row r="932">
      <c r="K932" s="1"/>
      <c r="L932" s="1"/>
    </row>
    <row r="933">
      <c r="K933" s="1"/>
      <c r="L933" s="1"/>
    </row>
    <row r="934">
      <c r="K934" s="1"/>
      <c r="L934" s="1"/>
    </row>
    <row r="935">
      <c r="K935" s="1"/>
      <c r="L935" s="1"/>
    </row>
    <row r="936">
      <c r="K936" s="1"/>
      <c r="L936" s="1"/>
    </row>
    <row r="937">
      <c r="K937" s="1"/>
      <c r="L937" s="1"/>
    </row>
    <row r="938">
      <c r="K938" s="1"/>
      <c r="L938" s="1"/>
    </row>
    <row r="939">
      <c r="K939" s="1"/>
      <c r="L939" s="1"/>
    </row>
    <row r="940">
      <c r="K940" s="1"/>
      <c r="L940" s="1"/>
    </row>
    <row r="941">
      <c r="K941" s="1"/>
      <c r="L941" s="1"/>
    </row>
    <row r="942">
      <c r="K942" s="1"/>
      <c r="L942" s="1"/>
    </row>
    <row r="943">
      <c r="K943" s="1"/>
      <c r="L943" s="1"/>
    </row>
    <row r="944">
      <c r="K944" s="1"/>
      <c r="L944" s="1"/>
    </row>
    <row r="945">
      <c r="K945" s="1"/>
      <c r="L945" s="1"/>
    </row>
    <row r="946">
      <c r="K946" s="1"/>
      <c r="L946" s="1"/>
    </row>
    <row r="947">
      <c r="K947" s="1"/>
      <c r="L947" s="1"/>
    </row>
    <row r="948">
      <c r="K948" s="1"/>
      <c r="L948" s="1"/>
    </row>
    <row r="949">
      <c r="K949" s="1"/>
      <c r="L949" s="1"/>
    </row>
    <row r="950">
      <c r="K950" s="1"/>
      <c r="L950" s="1"/>
    </row>
    <row r="951">
      <c r="K951" s="1"/>
      <c r="L951" s="1"/>
    </row>
    <row r="952">
      <c r="K952" s="1"/>
      <c r="L952" s="1"/>
    </row>
    <row r="953">
      <c r="K953" s="1"/>
      <c r="L953" s="1"/>
    </row>
    <row r="954">
      <c r="K954" s="1"/>
      <c r="L954" s="1"/>
    </row>
    <row r="955">
      <c r="K955" s="1"/>
      <c r="L955" s="1"/>
    </row>
    <row r="956">
      <c r="K956" s="1"/>
      <c r="L956" s="1"/>
    </row>
    <row r="957">
      <c r="K957" s="1"/>
      <c r="L957" s="1"/>
    </row>
    <row r="958">
      <c r="K958" s="1"/>
      <c r="L958" s="1"/>
    </row>
    <row r="959">
      <c r="K959" s="1"/>
      <c r="L959" s="1"/>
    </row>
    <row r="960">
      <c r="K960" s="1"/>
      <c r="L960" s="1"/>
    </row>
    <row r="961">
      <c r="K961" s="1"/>
      <c r="L961" s="1"/>
    </row>
    <row r="962">
      <c r="K962" s="1"/>
      <c r="L962" s="1"/>
    </row>
    <row r="963">
      <c r="K963" s="1"/>
      <c r="L963" s="1"/>
    </row>
    <row r="964">
      <c r="K964" s="1"/>
      <c r="L964" s="1"/>
    </row>
    <row r="965">
      <c r="K965" s="1"/>
      <c r="L965" s="1"/>
    </row>
    <row r="966">
      <c r="K966" s="1"/>
      <c r="L966" s="1"/>
    </row>
    <row r="967">
      <c r="K967" s="1"/>
      <c r="L967" s="1"/>
    </row>
    <row r="968">
      <c r="K968" s="1"/>
      <c r="L968" s="1"/>
    </row>
    <row r="969">
      <c r="K969" s="1"/>
      <c r="L969" s="1"/>
    </row>
    <row r="970">
      <c r="K970" s="1"/>
      <c r="L970" s="1"/>
    </row>
    <row r="971">
      <c r="K971" s="1"/>
      <c r="L971" s="1"/>
    </row>
    <row r="972">
      <c r="K972" s="1"/>
      <c r="L972" s="1"/>
    </row>
    <row r="973">
      <c r="K973" s="1"/>
      <c r="L973" s="1"/>
    </row>
    <row r="974">
      <c r="K974" s="1"/>
      <c r="L974" s="1"/>
    </row>
    <row r="975">
      <c r="K975" s="1"/>
      <c r="L975" s="1"/>
    </row>
    <row r="976">
      <c r="K976" s="1"/>
      <c r="L976" s="1"/>
    </row>
    <row r="977">
      <c r="K977" s="1"/>
      <c r="L977" s="1"/>
    </row>
    <row r="978">
      <c r="K978" s="1"/>
      <c r="L978" s="1"/>
    </row>
    <row r="979">
      <c r="K979" s="1"/>
      <c r="L979" s="1"/>
    </row>
    <row r="980">
      <c r="K980" s="1"/>
      <c r="L980" s="1"/>
    </row>
    <row r="981">
      <c r="K981" s="1"/>
      <c r="L981" s="1"/>
    </row>
    <row r="982">
      <c r="K982" s="1"/>
      <c r="L982" s="1"/>
    </row>
    <row r="983">
      <c r="K983" s="1"/>
      <c r="L983" s="1"/>
    </row>
    <row r="984">
      <c r="K984" s="1"/>
      <c r="L984" s="1"/>
    </row>
    <row r="985">
      <c r="K985" s="1"/>
      <c r="L985" s="1"/>
    </row>
    <row r="986">
      <c r="K986" s="1"/>
      <c r="L986" s="1"/>
    </row>
    <row r="987">
      <c r="K987" s="1"/>
      <c r="L987" s="1"/>
    </row>
    <row r="988">
      <c r="K988" s="1"/>
      <c r="L988" s="1"/>
    </row>
    <row r="989">
      <c r="K989" s="1"/>
      <c r="L989" s="1"/>
    </row>
    <row r="990">
      <c r="K990" s="1"/>
      <c r="L990" s="1"/>
    </row>
    <row r="991">
      <c r="K991" s="1"/>
      <c r="L991" s="1"/>
    </row>
    <row r="992">
      <c r="K992" s="1"/>
      <c r="L992" s="1"/>
    </row>
    <row r="993">
      <c r="K993" s="1"/>
      <c r="L993" s="1"/>
    </row>
    <row r="994">
      <c r="K994" s="1"/>
      <c r="L994" s="1"/>
    </row>
    <row r="995">
      <c r="K995" s="1"/>
      <c r="L995" s="1"/>
    </row>
    <row r="996">
      <c r="K996" s="1"/>
      <c r="L996" s="1"/>
    </row>
    <row r="997">
      <c r="K997" s="1"/>
      <c r="L997" s="1"/>
    </row>
  </sheetData>
  <mergeCells count="1">
    <mergeCell ref="A2:A4"/>
  </mergeCells>
  <dataValidations>
    <dataValidation type="list" allowBlank="1" showErrorMessage="1" sqref="D7:D106">
      <formula1>"0,1,2,3"</formula1>
    </dataValidation>
  </dataValidation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2" width="9.25"/>
    <col customWidth="1" min="3" max="3" width="5.13"/>
    <col customWidth="1" min="7" max="7" width="26.13"/>
    <col customWidth="1" min="9" max="9" width="5.13"/>
    <col customWidth="1" min="10" max="10" width="7.75"/>
    <col customWidth="1" min="14" max="14" width="33.25"/>
  </cols>
  <sheetData>
    <row r="1" ht="15.75" customHeight="1">
      <c r="A1" s="22"/>
      <c r="B1" s="22"/>
      <c r="C1" s="22"/>
      <c r="D1" s="22"/>
      <c r="E1" s="22"/>
      <c r="F1" s="22"/>
      <c r="G1" s="22"/>
      <c r="H1" s="22"/>
      <c r="I1" s="22"/>
      <c r="J1" s="22"/>
      <c r="K1" s="22"/>
      <c r="L1" s="22"/>
      <c r="M1" s="22"/>
      <c r="N1" s="22"/>
      <c r="O1" s="22"/>
      <c r="P1" s="22"/>
      <c r="Q1" s="22"/>
      <c r="R1" s="22"/>
      <c r="S1" s="22"/>
      <c r="T1" s="22"/>
      <c r="U1" s="22"/>
      <c r="V1" s="22"/>
      <c r="W1" s="22"/>
      <c r="X1" s="22"/>
      <c r="Y1" s="22"/>
      <c r="Z1" s="22"/>
    </row>
    <row r="3">
      <c r="A3" s="23" t="s">
        <v>166</v>
      </c>
      <c r="D3" s="24" t="s">
        <v>167</v>
      </c>
    </row>
    <row r="7">
      <c r="D7" s="25" t="s">
        <v>168</v>
      </c>
    </row>
    <row r="9">
      <c r="C9" s="26" t="s">
        <v>3</v>
      </c>
      <c r="D9" s="27" t="s">
        <v>4</v>
      </c>
      <c r="E9" s="28"/>
      <c r="F9" s="28"/>
      <c r="G9" s="28"/>
      <c r="H9" s="29" t="s">
        <v>5</v>
      </c>
    </row>
    <row r="10">
      <c r="C10" s="30">
        <v>1.0</v>
      </c>
      <c r="D10" s="9" t="s">
        <v>169</v>
      </c>
      <c r="H10" s="31">
        <v>3.0</v>
      </c>
      <c r="J10" s="4">
        <v>11.0</v>
      </c>
    </row>
    <row r="11">
      <c r="C11" s="30">
        <v>2.0</v>
      </c>
      <c r="D11" s="9" t="s">
        <v>170</v>
      </c>
      <c r="H11" s="31">
        <v>3.0</v>
      </c>
    </row>
    <row r="12">
      <c r="C12" s="30">
        <v>3.0</v>
      </c>
      <c r="D12" s="32" t="s">
        <v>171</v>
      </c>
      <c r="H12" s="31">
        <v>2.0</v>
      </c>
    </row>
    <row r="13">
      <c r="C13" s="30">
        <v>4.0</v>
      </c>
      <c r="D13" s="9" t="s">
        <v>172</v>
      </c>
      <c r="H13" s="31">
        <v>2.0</v>
      </c>
    </row>
    <row r="14">
      <c r="C14" s="33">
        <v>5.0</v>
      </c>
      <c r="D14" s="34" t="s">
        <v>173</v>
      </c>
      <c r="E14" s="35"/>
      <c r="F14" s="35"/>
      <c r="G14" s="35"/>
      <c r="H14" s="36">
        <v>1.0</v>
      </c>
    </row>
    <row r="15" ht="145.5" customHeight="1">
      <c r="H15" s="14"/>
    </row>
    <row r="16" ht="15.75" customHeight="1">
      <c r="A16" s="22"/>
      <c r="B16" s="22"/>
      <c r="C16" s="22"/>
      <c r="D16" s="22"/>
      <c r="E16" s="22"/>
      <c r="F16" s="22"/>
      <c r="G16" s="22"/>
      <c r="H16" s="22"/>
      <c r="I16" s="22"/>
      <c r="J16" s="22"/>
      <c r="K16" s="22"/>
      <c r="L16" s="22"/>
      <c r="M16" s="22"/>
      <c r="N16" s="22"/>
      <c r="O16" s="22"/>
      <c r="P16" s="22"/>
      <c r="Q16" s="22"/>
      <c r="R16" s="22"/>
      <c r="S16" s="22"/>
      <c r="T16" s="22"/>
      <c r="U16" s="22"/>
      <c r="V16" s="22"/>
      <c r="W16" s="22"/>
      <c r="X16" s="22"/>
      <c r="Y16" s="22"/>
      <c r="Z16" s="22"/>
    </row>
    <row r="17" ht="1.5" customHeight="1"/>
    <row r="18" ht="1.5" customHeight="1"/>
    <row r="19" ht="1.5" customHeight="1"/>
    <row r="20" ht="1.5" customHeight="1"/>
    <row r="21" ht="1.5" customHeight="1"/>
    <row r="22" ht="1.5" customHeight="1">
      <c r="D22" s="24" t="s">
        <v>174</v>
      </c>
    </row>
    <row r="23">
      <c r="A23" s="23" t="s">
        <v>175</v>
      </c>
    </row>
    <row r="27" ht="30.75" customHeight="1">
      <c r="B27" s="37" t="s">
        <v>176</v>
      </c>
    </row>
    <row r="29">
      <c r="C29" s="38" t="s">
        <v>3</v>
      </c>
      <c r="D29" s="39" t="s">
        <v>4</v>
      </c>
      <c r="E29" s="40"/>
      <c r="F29" s="40"/>
      <c r="G29" s="40"/>
      <c r="H29" s="41" t="s">
        <v>5</v>
      </c>
      <c r="J29" s="4">
        <v>38.0</v>
      </c>
    </row>
    <row r="30">
      <c r="C30" s="11">
        <v>1.0</v>
      </c>
      <c r="D30" s="4" t="s">
        <v>177</v>
      </c>
      <c r="H30" s="42">
        <v>3.0</v>
      </c>
    </row>
    <row r="31">
      <c r="C31" s="11">
        <v>2.0</v>
      </c>
      <c r="D31" s="4" t="s">
        <v>178</v>
      </c>
      <c r="H31" s="42">
        <v>3.0</v>
      </c>
    </row>
    <row r="32">
      <c r="C32" s="11">
        <v>3.0</v>
      </c>
      <c r="D32" s="4" t="s">
        <v>179</v>
      </c>
      <c r="H32" s="42">
        <v>3.0</v>
      </c>
    </row>
    <row r="33">
      <c r="C33" s="11">
        <v>4.0</v>
      </c>
      <c r="D33" s="12" t="s">
        <v>180</v>
      </c>
      <c r="H33" s="42">
        <v>4.0</v>
      </c>
    </row>
    <row r="34">
      <c r="C34" s="11">
        <v>5.0</v>
      </c>
      <c r="D34" s="4" t="s">
        <v>181</v>
      </c>
      <c r="H34" s="42">
        <v>5.0</v>
      </c>
    </row>
    <row r="35">
      <c r="C35" s="11">
        <v>6.0</v>
      </c>
      <c r="D35" s="4" t="s">
        <v>182</v>
      </c>
      <c r="H35" s="42">
        <v>3.0</v>
      </c>
    </row>
    <row r="36">
      <c r="C36" s="11">
        <v>7.0</v>
      </c>
      <c r="D36" s="4" t="s">
        <v>183</v>
      </c>
      <c r="H36" s="42">
        <v>3.0</v>
      </c>
    </row>
    <row r="37">
      <c r="C37" s="11">
        <v>8.0</v>
      </c>
      <c r="D37" s="4" t="s">
        <v>184</v>
      </c>
      <c r="H37" s="42">
        <v>2.0</v>
      </c>
    </row>
    <row r="38">
      <c r="C38" s="11">
        <v>9.0</v>
      </c>
      <c r="D38" s="4" t="s">
        <v>185</v>
      </c>
      <c r="H38" s="42">
        <v>3.0</v>
      </c>
    </row>
    <row r="39">
      <c r="C39" s="11">
        <v>10.0</v>
      </c>
      <c r="D39" s="4" t="s">
        <v>186</v>
      </c>
      <c r="H39" s="42">
        <v>3.0</v>
      </c>
    </row>
    <row r="40">
      <c r="C40" s="11">
        <v>11.0</v>
      </c>
      <c r="D40" s="4" t="s">
        <v>187</v>
      </c>
      <c r="H40" s="42">
        <v>2.0</v>
      </c>
    </row>
    <row r="41">
      <c r="C41" s="19">
        <v>12.0</v>
      </c>
      <c r="D41" s="43" t="s">
        <v>188</v>
      </c>
      <c r="E41" s="44"/>
      <c r="F41" s="44"/>
      <c r="G41" s="44"/>
      <c r="H41" s="45">
        <v>4.0</v>
      </c>
    </row>
    <row r="42">
      <c r="H42" s="14"/>
    </row>
    <row r="44" ht="15.75" customHeight="1">
      <c r="A44" s="22"/>
      <c r="B44" s="22"/>
      <c r="C44" s="22"/>
      <c r="D44" s="22"/>
      <c r="E44" s="22"/>
      <c r="F44" s="22"/>
      <c r="G44" s="22"/>
      <c r="H44" s="22"/>
      <c r="I44" s="22"/>
      <c r="J44" s="22"/>
      <c r="K44" s="22"/>
      <c r="L44" s="22"/>
      <c r="M44" s="22"/>
      <c r="N44" s="22"/>
      <c r="O44" s="22"/>
      <c r="P44" s="22"/>
      <c r="Q44" s="22"/>
      <c r="R44" s="22"/>
      <c r="S44" s="22"/>
      <c r="T44" s="22"/>
      <c r="U44" s="22"/>
      <c r="V44" s="22"/>
      <c r="W44" s="22"/>
      <c r="X44" s="22"/>
      <c r="Y44" s="22"/>
      <c r="Z44" s="22"/>
    </row>
    <row r="45">
      <c r="D45" s="24" t="s">
        <v>189</v>
      </c>
    </row>
    <row r="48">
      <c r="A48" s="23" t="s">
        <v>190</v>
      </c>
    </row>
    <row r="50">
      <c r="B50" s="37" t="s">
        <v>191</v>
      </c>
    </row>
    <row r="51">
      <c r="N51" s="46" t="s">
        <v>192</v>
      </c>
      <c r="O51" s="47"/>
      <c r="Q51" s="5" t="s">
        <v>193</v>
      </c>
      <c r="R51" s="48"/>
    </row>
    <row r="52">
      <c r="C52" s="38" t="s">
        <v>3</v>
      </c>
      <c r="D52" s="39" t="s">
        <v>4</v>
      </c>
      <c r="E52" s="40"/>
      <c r="F52" s="40"/>
      <c r="G52" s="40"/>
      <c r="H52" s="41" t="s">
        <v>5</v>
      </c>
      <c r="N52" s="59" t="s">
        <v>194</v>
      </c>
      <c r="O52" s="60">
        <f>SUM(H53:H55)</f>
        <v>8</v>
      </c>
      <c r="Q52" s="50" t="s">
        <v>195</v>
      </c>
      <c r="R52" s="51" t="s">
        <v>196</v>
      </c>
    </row>
    <row r="53">
      <c r="C53" s="11">
        <v>1.0</v>
      </c>
      <c r="D53" s="12" t="s">
        <v>197</v>
      </c>
      <c r="H53" s="13">
        <v>3.0</v>
      </c>
      <c r="N53" s="61" t="s">
        <v>198</v>
      </c>
      <c r="O53" s="62">
        <f>SUM(H56:H58)</f>
        <v>7</v>
      </c>
      <c r="Q53" s="50" t="s">
        <v>199</v>
      </c>
      <c r="R53" s="51" t="s">
        <v>200</v>
      </c>
    </row>
    <row r="54">
      <c r="C54" s="11">
        <v>2.0</v>
      </c>
      <c r="D54" s="12" t="s">
        <v>201</v>
      </c>
      <c r="H54" s="13">
        <v>3.0</v>
      </c>
      <c r="N54" s="50" t="s">
        <v>202</v>
      </c>
      <c r="O54" s="53">
        <f>SUM(H59:H61)</f>
        <v>6</v>
      </c>
      <c r="Q54" s="50" t="s">
        <v>203</v>
      </c>
      <c r="R54" s="51" t="s">
        <v>204</v>
      </c>
    </row>
    <row r="55">
      <c r="C55" s="11">
        <v>3.0</v>
      </c>
      <c r="D55" s="12" t="s">
        <v>205</v>
      </c>
      <c r="H55" s="13">
        <v>2.0</v>
      </c>
      <c r="N55" s="50" t="s">
        <v>206</v>
      </c>
      <c r="O55" s="54">
        <f>SUM(H62:H64)</f>
        <v>4</v>
      </c>
      <c r="Q55" s="55" t="s">
        <v>207</v>
      </c>
      <c r="R55" s="56" t="s">
        <v>208</v>
      </c>
    </row>
    <row r="56">
      <c r="C56" s="11">
        <v>4.0</v>
      </c>
      <c r="D56" s="12" t="s">
        <v>209</v>
      </c>
      <c r="H56" s="13">
        <v>2.0</v>
      </c>
      <c r="N56" s="55" t="s">
        <v>210</v>
      </c>
      <c r="O56" s="57">
        <f>SUM(O52:O55)</f>
        <v>25</v>
      </c>
    </row>
    <row r="57">
      <c r="C57" s="11">
        <v>5.0</v>
      </c>
      <c r="D57" s="12" t="s">
        <v>211</v>
      </c>
      <c r="H57" s="13">
        <v>3.0</v>
      </c>
    </row>
    <row r="58">
      <c r="C58" s="11">
        <v>6.0</v>
      </c>
      <c r="D58" s="12" t="s">
        <v>212</v>
      </c>
      <c r="H58" s="13">
        <v>2.0</v>
      </c>
    </row>
    <row r="59">
      <c r="C59" s="11">
        <v>7.0</v>
      </c>
      <c r="D59" s="12" t="s">
        <v>213</v>
      </c>
      <c r="H59" s="13">
        <v>2.0</v>
      </c>
    </row>
    <row r="60">
      <c r="C60" s="11">
        <v>8.0</v>
      </c>
      <c r="D60" s="12" t="s">
        <v>214</v>
      </c>
      <c r="H60" s="13">
        <v>2.0</v>
      </c>
    </row>
    <row r="61">
      <c r="C61" s="11">
        <v>9.0</v>
      </c>
      <c r="D61" s="12" t="s">
        <v>215</v>
      </c>
      <c r="H61" s="13">
        <v>2.0</v>
      </c>
    </row>
    <row r="62">
      <c r="C62" s="11">
        <v>10.0</v>
      </c>
      <c r="D62" s="12" t="s">
        <v>216</v>
      </c>
      <c r="H62" s="13">
        <v>1.0</v>
      </c>
    </row>
    <row r="63">
      <c r="C63" s="11">
        <v>11.0</v>
      </c>
      <c r="D63" s="12" t="s">
        <v>217</v>
      </c>
      <c r="H63" s="13">
        <v>2.0</v>
      </c>
    </row>
    <row r="64">
      <c r="C64" s="19">
        <v>12.0</v>
      </c>
      <c r="D64" s="20" t="s">
        <v>218</v>
      </c>
      <c r="E64" s="44"/>
      <c r="F64" s="44"/>
      <c r="G64" s="44"/>
      <c r="H64" s="21">
        <v>1.0</v>
      </c>
    </row>
    <row r="68" ht="15.75" customHeight="1">
      <c r="A68" s="22"/>
      <c r="B68" s="22"/>
      <c r="C68" s="22"/>
      <c r="D68" s="22"/>
      <c r="E68" s="22"/>
      <c r="F68" s="22"/>
      <c r="G68" s="22"/>
      <c r="H68" s="22"/>
      <c r="I68" s="22"/>
      <c r="J68" s="22"/>
      <c r="K68" s="22"/>
      <c r="L68" s="22"/>
      <c r="M68" s="22"/>
      <c r="N68" s="22"/>
      <c r="O68" s="22"/>
      <c r="P68" s="22"/>
      <c r="Q68" s="22"/>
      <c r="R68" s="22"/>
      <c r="S68" s="22"/>
      <c r="T68" s="22"/>
      <c r="U68" s="22"/>
      <c r="V68" s="22"/>
      <c r="W68" s="22"/>
      <c r="X68" s="22"/>
      <c r="Y68" s="22"/>
      <c r="Z68" s="22"/>
    </row>
  </sheetData>
  <mergeCells count="41">
    <mergeCell ref="D13:G13"/>
    <mergeCell ref="D14:G14"/>
    <mergeCell ref="D22:H26"/>
    <mergeCell ref="A23:A41"/>
    <mergeCell ref="B27:J27"/>
    <mergeCell ref="D29:G29"/>
    <mergeCell ref="D30:G30"/>
    <mergeCell ref="D41:G41"/>
    <mergeCell ref="D58:G58"/>
    <mergeCell ref="D59:G59"/>
    <mergeCell ref="D60:G60"/>
    <mergeCell ref="D61:G61"/>
    <mergeCell ref="D62:G62"/>
    <mergeCell ref="D63:G63"/>
    <mergeCell ref="D39:G39"/>
    <mergeCell ref="D40:G40"/>
    <mergeCell ref="D45:H49"/>
    <mergeCell ref="A48:A66"/>
    <mergeCell ref="B50:J50"/>
    <mergeCell ref="D52:G52"/>
    <mergeCell ref="D53:G53"/>
    <mergeCell ref="D64:G64"/>
    <mergeCell ref="A3:A14"/>
    <mergeCell ref="D3:H5"/>
    <mergeCell ref="D7:H7"/>
    <mergeCell ref="D9:G9"/>
    <mergeCell ref="D10:G10"/>
    <mergeCell ref="D11:G11"/>
    <mergeCell ref="D12:G12"/>
    <mergeCell ref="D31:G31"/>
    <mergeCell ref="D32:G32"/>
    <mergeCell ref="D33:G33"/>
    <mergeCell ref="D34:G34"/>
    <mergeCell ref="D35:G35"/>
    <mergeCell ref="D36:G36"/>
    <mergeCell ref="D37:G37"/>
    <mergeCell ref="D38:G38"/>
    <mergeCell ref="D54:G54"/>
    <mergeCell ref="D55:G55"/>
    <mergeCell ref="D56:G56"/>
    <mergeCell ref="D57:G57"/>
  </mergeCells>
  <conditionalFormatting sqref="O56">
    <cfRule type="cellIs" dxfId="0" priority="1" operator="greaterThanOrEqual">
      <formula>31</formula>
    </cfRule>
  </conditionalFormatting>
  <dataValidations>
    <dataValidation type="list" allowBlank="1" showErrorMessage="1" sqref="H53:H64">
      <formula1>"1,2,3,4"</formula1>
    </dataValidation>
    <dataValidation type="list" allowBlank="1" showErrorMessage="1" sqref="H10:H14">
      <formula1>"1,2,3,4,5"</formula1>
    </dataValidation>
    <dataValidation type="list" allowBlank="1" showErrorMessage="1" sqref="H30:H41">
      <formula1>"1,2,3,4,5"</formula1>
    </dataValidation>
  </dataValidations>
  <drawing r:id="rId1"/>
</worksheet>
</file>